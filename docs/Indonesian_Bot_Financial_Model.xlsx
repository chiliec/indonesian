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12-Month Projection" sheetId="2" state="visible" r:id="rId4"/>
    <sheet name="Scenario Summary" sheetId="3" state="visible" r:id="rId5"/>
    <sheet name="Benchmarks (public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<sst xmlns="http://schemas.openxmlformats.org/spreadsheetml/2006/main" count="223" uniqueCount="143">
  <si>
    <t xml:space="preserve">Indonesian Learning Bot  -  Financial Model (High-Level Estimates)</t>
  </si>
  <si>
    <t xml:space="preserve">Telegram bot teaching Indonesian to English speakers. Blue = editable inputs. Black = formulas. Figures are planning estimates, not guarantees.</t>
  </si>
  <si>
    <t xml:space="preserve">INPUTS  (edit the blue cells to test your own assumptions)</t>
  </si>
  <si>
    <t xml:space="preserve">Driver</t>
  </si>
  <si>
    <t xml:space="preserve">Conservative</t>
  </si>
  <si>
    <t xml:space="preserve">Base</t>
  </si>
  <si>
    <t xml:space="preserve">Optimistic</t>
  </si>
  <si>
    <t xml:space="preserve">Notes</t>
  </si>
  <si>
    <t xml:space="preserve">New free users acquired / month (steady state)</t>
  </si>
  <si>
    <t xml:space="preserve">People who start the bot each month</t>
  </si>
  <si>
    <t xml:space="preserve">Free -&gt; Paid conversion</t>
  </si>
  <si>
    <t xml:space="preserve">Balabol got ~1.5%; Bino ~15% (with methodologist)</t>
  </si>
  <si>
    <t xml:space="preserve">Monthly churn (paid)</t>
  </si>
  <si>
    <t xml:space="preserve">Language apps churn high; annual plans lower it</t>
  </si>
  <si>
    <t xml:space="preserve">Blended ARPU ($ / paying user / month)</t>
  </si>
  <si>
    <t xml:space="preserve">Monthly $9.99 / annual ~$59 blended</t>
  </si>
  <si>
    <t xml:space="preserve">Payment + platform fee</t>
  </si>
  <si>
    <t xml:space="preserve">Telegram Stars via app stores ~30%; web checkout lower</t>
  </si>
  <si>
    <t xml:space="preserve">Variable cost ($ / active paid / month)</t>
  </si>
  <si>
    <t xml:space="preserve">LLM dialogue + TTS/STT + infra per active user</t>
  </si>
  <si>
    <t xml:space="preserve">CAC ($ / paying customer)</t>
  </si>
  <si>
    <t xml:space="preserve">Lower = organic/referral heavy. Balabol CAC ~$28 killed it</t>
  </si>
  <si>
    <t xml:space="preserve">Fixed cost ($ / month)</t>
  </si>
  <si>
    <t xml:space="preserve">Hosting, tools, content upkeep; founder unpaid</t>
  </si>
  <si>
    <t xml:space="preserve">UNIT ECONOMICS  (calculated)</t>
  </si>
  <si>
    <t xml:space="preserve">Metric</t>
  </si>
  <si>
    <t xml:space="preserve">Definition</t>
  </si>
  <si>
    <t xml:space="preserve">Net revenue / paid / month</t>
  </si>
  <si>
    <t xml:space="preserve">ARPU after platform fee</t>
  </si>
  <si>
    <t xml:space="preserve">Contribution / paid / month</t>
  </si>
  <si>
    <t xml:space="preserve">Net revenue minus variable cost</t>
  </si>
  <si>
    <t xml:space="preserve">Avg customer lifetime (months)</t>
  </si>
  <si>
    <t xml:space="preserve">1 / monthly churn</t>
  </si>
  <si>
    <t xml:space="preserve">LTV ($)</t>
  </si>
  <si>
    <t xml:space="preserve">Contribution x lifetime</t>
  </si>
  <si>
    <t xml:space="preserve">LTV / CAC ratio</t>
  </si>
  <si>
    <t xml:space="preserve">&gt;3x healthy; &lt;1x loses money</t>
  </si>
  <si>
    <t xml:space="preserve">CAC payback (months)</t>
  </si>
  <si>
    <t xml:space="preserve">Months to recover acquisition cost</t>
  </si>
  <si>
    <t xml:space="preserve">12-Month Projection  -  three scenarios</t>
  </si>
  <si>
    <t xml:space="preserve">Paid base = prior base x (1 - churn) + new paid. Net profit assumes founder takes no salary.</t>
  </si>
  <si>
    <t xml:space="preserve">CONSERVATIVE SCENARIO</t>
  </si>
  <si>
    <t xml:space="preserve">Metric / 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</si>
  <si>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</si>
  <si>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</si>
  <si>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</si>
  <si>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</si>
  <si>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</si>
  <si>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</si>
  <si>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</si>
  <si>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</si>
  <si>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</si>
  <si>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</si>
  <si>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</si>
  <si>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</si>
  <si>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1</t>
  </si>
  <si>
    <t xml:space="preserve">New free users</t>
  </si>
  <si>
    <t xml:space="preserve">New paying customers</t>
  </si>
  <si>
    <t xml:space="preserve">Churned paying customers</t>
  </si>
  <si>
    <t xml:space="preserve">Active paying base (end of month)</t>
  </si>
  <si>
    <t xml:space="preserve">Gross MRR ($)</t>
  </si>
  <si>
    <t xml:space="preserve">Net revenue ($)</t>
  </si>
  <si>
    <t xml:space="preserve">Variable cost ($)</t>
  </si>
  <si>
    <t xml:space="preserve">Marketing / CAC spend ($)</t>
  </si>
  <si>
    <t xml:space="preserve">Fixed cost ($)</t>
  </si>
  <si>
    <t xml:space="preserve">Net profit / (loss) ($)</t>
  </si>
  <si>
    <t xml:space="preserve">Cumulative net profit ($)</t>
  </si>
  <si>
    <t xml:space="preserve">BASE SCENARIO</t>
  </si>
  <si>
    <t xml:space="preserve">OPTIMISTIC SCENARIO</t>
  </si>
  <si>
    <t xml:space="preserve">Scenario Summary  -  Year 1 outcomes</t>
  </si>
  <si>
    <t xml:space="preserve">Pulled from the 12-Month Projection sheet.</t>
  </si>
  <si>
    <t xml:space="preserve">Active paying users (end of M12)</t>
  </si>
  <si>
    <t xml:space="preserve">Gross MRR at M12 ($)</t>
  </si>
  <si>
    <t xml:space="preserve">Net revenue at M12 ($)</t>
  </si>
  <si>
    <t xml:space="preserve">Year-1 net revenue ($)</t>
  </si>
  <si>
    <t xml:space="preserve">Year-1 marketing spend ($)</t>
  </si>
  <si>
    <t xml:space="preserve">Year-1 net profit / (loss) ($)</t>
  </si>
  <si>
    <t xml:space="preserve">Cumulative profit at M12 ($)</t>
  </si>
  <si>
    <t xml:space="preserve">Unit economics (from Assumptions)</t>
  </si>
  <si>
    <t xml:space="preserve">Public benchmarks gathered in research</t>
  </si>
  <si>
    <t xml:space="preserve">Mix of disclosed figures and approximate/estimated values. See 'type' column.</t>
  </si>
  <si>
    <t xml:space="preserve">Service / source</t>
  </si>
  <si>
    <t xml:space="preserve">Value</t>
  </si>
  <si>
    <t xml:space="preserve">Type</t>
  </si>
  <si>
    <t xml:space="preserve">Balabol (@startup_custdev/75)</t>
  </si>
  <si>
    <t xml:space="preserve">CAC</t>
  </si>
  <si>
    <t xml:space="preserve">~2,500 RUB (~$28)</t>
  </si>
  <si>
    <t xml:space="preserve">disclosed</t>
  </si>
  <si>
    <t xml:space="preserve">English bot; shut down</t>
  </si>
  <si>
    <t xml:space="preserve">Balabol</t>
  </si>
  <si>
    <t xml:space="preserve">LTV</t>
  </si>
  <si>
    <t xml:space="preserve">~1,200 RUB (~$13)</t>
  </si>
  <si>
    <t xml:space="preserve">LTV &lt; CAC -&gt; unprofitable</t>
  </si>
  <si>
    <t xml:space="preserve">Paying subscribers</t>
  </si>
  <si>
    <t xml:space="preserve">6</t>
  </si>
  <si>
    <t xml:space="preserve">From 400 total users (~1.5%)</t>
  </si>
  <si>
    <t xml:space="preserve">Longest subscription</t>
  </si>
  <si>
    <t xml:space="preserve">8 months</t>
  </si>
  <si>
    <t xml:space="preserve">Bino.School (@binoschool_bot)</t>
  </si>
  <si>
    <t xml:space="preserve">New users / month</t>
  </si>
  <si>
    <t xml:space="preserve">~2,000</t>
  </si>
  <si>
    <t xml:space="preserve">disclosed (founder)</t>
  </si>
  <si>
    <t xml:space="preserve">Hebrew/Chinese/Spanish/Georgian</t>
  </si>
  <si>
    <t xml:space="preserve">Bino.School</t>
  </si>
  <si>
    <t xml:space="preserve">Paying users (cohort)</t>
  </si>
  <si>
    <t xml:space="preserve">~300</t>
  </si>
  <si>
    <t xml:space="preserve">~15% conversion of that cohort</t>
  </si>
  <si>
    <t xml:space="preserve">Revenue (2021)</t>
  </si>
  <si>
    <t xml:space="preserve">~$106,600</t>
  </si>
  <si>
    <t xml:space="preserve">approximate</t>
  </si>
  <si>
    <t xml:space="preserve">From startup.network profile</t>
  </si>
  <si>
    <t xml:space="preserve">AI English bot (captain.works case)</t>
  </si>
  <si>
    <t xml:space="preserve">Revenue in 2.5 months</t>
  </si>
  <si>
    <t xml:space="preserve">$1,200+</t>
  </si>
  <si>
    <t xml:space="preserve">case study</t>
  </si>
  <si>
    <t xml:space="preserve">Solo AI practice bot ramp</t>
  </si>
  <si>
    <t xml:space="preserve">TG language tutor (Indie Hackers)</t>
  </si>
  <si>
    <t xml:space="preserve">Monthly revenue</t>
  </si>
  <si>
    <t xml:space="preserve">~$3,000</t>
  </si>
  <si>
    <t xml:space="preserve">Selling guides + video lessons</t>
  </si>
  <si>
    <t xml:space="preserve">Speak (global, AI conversation)</t>
  </si>
  <si>
    <t xml:space="preserve">Annualized revenue (late 2025)</t>
  </si>
  <si>
    <t xml:space="preserve">$100M+</t>
  </si>
  <si>
    <t xml:space="preserve">press</t>
  </si>
  <si>
    <t xml:space="preserve">OpenAI-backed</t>
  </si>
  <si>
    <t xml:space="preserve">Speak</t>
  </si>
  <si>
    <t xml:space="preserve">Valuation (Dec 2024)</t>
  </si>
  <si>
    <t xml:space="preserve">$1.0B</t>
  </si>
  <si>
    <t xml:space="preserve">$78M Series C; $162M raised total</t>
  </si>
  <si>
    <t xml:space="preserve">Pricing</t>
  </si>
  <si>
    <t xml:space="preserve">$20/mo or $99/yr</t>
  </si>
  <si>
    <t xml:space="preserve">Bot is funnel into core product</t>
  </si>
  <si>
    <t xml:space="preserve">Duolingo (benchmark)</t>
  </si>
  <si>
    <t xml:space="preserve">FY2025 revenue</t>
  </si>
  <si>
    <t xml:space="preserve">$1.04B (+39% YoY)</t>
  </si>
  <si>
    <t xml:space="preserve">SEC filing</t>
  </si>
  <si>
    <t xml:space="preserve">Market leader</t>
  </si>
  <si>
    <t xml:space="preserve">Duolingo</t>
  </si>
  <si>
    <t xml:space="preserve">Paid subscribers (Q4 2025)</t>
  </si>
  <si>
    <t xml:space="preserve">12.2M</t>
  </si>
  <si>
    <t xml:space="preserve">~9% paid conversion</t>
  </si>
  <si>
    <t xml:space="preserve">DAU / MAU</t>
  </si>
  <si>
    <t xml:space="preserve">52.7M / 133M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</si>
</sst>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\$#,##0.00"/>
    <numFmt numFmtId="168" formatCode="0.0"/>
    <numFmt numFmtId="169" formatCode="0.0\x"/>
    <numFmt numFmtId="170" formatCode="#,##0.0"/>
    <numFmt numFmtId="171" formatCode="\$#,##0"/>
    <numFmt numFmtId="172" formatCode="\$#,##0;&quot;($&quot;#,##0\)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i val="true"/>
      <sz val="9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5E8F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3"/>
    <col collapsed="false" customWidth="true" hidden="false" outlineLevel="0" max="5" min="5" style="0" width="46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v>300</v>
      </c>
      <c r="C6" s="6" t="n">
        <v>800</v>
      </c>
      <c r="D6" s="6" t="n">
        <v>2000</v>
      </c>
      <c r="E6" s="7" t="s">
        <v>9</v>
      </c>
    </row>
    <row r="7" customFormat="false" ht="15" hidden="false" customHeight="false" outlineLevel="0" collapsed="false">
      <c r="A7" s="5" t="s">
        <v>10</v>
      </c>
      <c r="B7" s="8" t="n">
        <v>0.02</v>
      </c>
      <c r="C7" s="8" t="n">
        <v>0.04</v>
      </c>
      <c r="D7" s="8" t="n">
        <v>0.07</v>
      </c>
      <c r="E7" s="7" t="s">
        <v>11</v>
      </c>
    </row>
    <row r="8" customFormat="false" ht="15" hidden="false" customHeight="false" outlineLevel="0" collapsed="false">
      <c r="A8" s="5" t="s">
        <v>12</v>
      </c>
      <c r="B8" s="8" t="n">
        <v>0.12</v>
      </c>
      <c r="C8" s="8" t="n">
        <v>0.09</v>
      </c>
      <c r="D8" s="8" t="n">
        <v>0.06</v>
      </c>
      <c r="E8" s="7" t="s">
        <v>13</v>
      </c>
    </row>
    <row r="9" customFormat="false" ht="15" hidden="false" customHeight="false" outlineLevel="0" collapsed="false">
      <c r="A9" s="5" t="s">
        <v>14</v>
      </c>
      <c r="B9" s="9" t="n">
        <v>8</v>
      </c>
      <c r="C9" s="9" t="n">
        <v>8.5</v>
      </c>
      <c r="D9" s="9" t="n">
        <v>9</v>
      </c>
      <c r="E9" s="7" t="s">
        <v>15</v>
      </c>
    </row>
    <row r="10" customFormat="false" ht="15" hidden="false" customHeight="false" outlineLevel="0" collapsed="false">
      <c r="A10" s="5" t="s">
        <v>16</v>
      </c>
      <c r="B10" s="8" t="n">
        <v>0.3</v>
      </c>
      <c r="C10" s="8" t="n">
        <v>0.3</v>
      </c>
      <c r="D10" s="8" t="n">
        <v>0.22</v>
      </c>
      <c r="E10" s="7" t="s">
        <v>17</v>
      </c>
    </row>
    <row r="11" customFormat="false" ht="15" hidden="false" customHeight="false" outlineLevel="0" collapsed="false">
      <c r="A11" s="5" t="s">
        <v>18</v>
      </c>
      <c r="B11" s="9" t="n">
        <v>1.5</v>
      </c>
      <c r="C11" s="9" t="n">
        <v>1.5</v>
      </c>
      <c r="D11" s="9" t="n">
        <v>1.2</v>
      </c>
      <c r="E11" s="7" t="s">
        <v>19</v>
      </c>
    </row>
    <row r="12" customFormat="false" ht="15" hidden="false" customHeight="false" outlineLevel="0" collapsed="false">
      <c r="A12" s="5" t="s">
        <v>20</v>
      </c>
      <c r="B12" s="9" t="n">
        <v>15</v>
      </c>
      <c r="C12" s="9" t="n">
        <v>8</v>
      </c>
      <c r="D12" s="9" t="n">
        <v>4</v>
      </c>
      <c r="E12" s="7" t="s">
        <v>21</v>
      </c>
    </row>
    <row r="13" customFormat="false" ht="15" hidden="false" customHeight="false" outlineLevel="0" collapsed="false">
      <c r="A13" s="5" t="s">
        <v>22</v>
      </c>
      <c r="B13" s="9" t="n">
        <v>300</v>
      </c>
      <c r="C13" s="9" t="n">
        <v>300</v>
      </c>
      <c r="D13" s="9" t="n">
        <v>300</v>
      </c>
      <c r="E13" s="7" t="s">
        <v>23</v>
      </c>
    </row>
    <row r="15" customFormat="false" ht="15" hidden="false" customHeight="false" outlineLevel="0" collapsed="false">
      <c r="A15" s="3" t="s">
        <v>24</v>
      </c>
    </row>
    <row r="16" customFormat="false" ht="15" hidden="false" customHeight="false" outlineLevel="0" collapsed="false">
      <c r="A16" s="4" t="s">
        <v>25</v>
      </c>
      <c r="B16" s="4" t="s">
        <v>4</v>
      </c>
      <c r="C16" s="4" t="s">
        <v>5</v>
      </c>
      <c r="D16" s="4" t="s">
        <v>6</v>
      </c>
      <c r="E16" s="4" t="s">
        <v>26</v>
      </c>
    </row>
    <row r="17" customFormat="false" ht="15" hidden="false" customHeight="false" outlineLevel="0" collapsed="false">
      <c r="A17" s="10" t="s">
        <v>27</v>
      </c>
      <c r="B17" s="11" t="n">
        <f aca="false">B9*(1-B10)</f>
        <v>5.6</v>
      </c>
      <c r="C17" s="11" t="n">
        <f aca="false">C9*(1-C10)</f>
        <v>5.95</v>
      </c>
      <c r="D17" s="11" t="n">
        <f aca="false">D9*(1-D10)</f>
        <v>7.02</v>
      </c>
      <c r="E17" s="7" t="s">
        <v>28</v>
      </c>
    </row>
    <row r="18" customFormat="false" ht="15" hidden="false" customHeight="false" outlineLevel="0" collapsed="false">
      <c r="A18" s="10" t="s">
        <v>29</v>
      </c>
      <c r="B18" s="11" t="n">
        <f aca="false">B9*(1-B10)-B11</f>
        <v>4.1</v>
      </c>
      <c r="C18" s="11" t="n">
        <f aca="false">C9*(1-C10)-C11</f>
        <v>4.45</v>
      </c>
      <c r="D18" s="11" t="n">
        <f aca="false">D9*(1-D10)-D11</f>
        <v>5.82</v>
      </c>
      <c r="E18" s="7" t="s">
        <v>30</v>
      </c>
    </row>
    <row r="19" customFormat="false" ht="15" hidden="false" customHeight="false" outlineLevel="0" collapsed="false">
      <c r="A19" s="10" t="s">
        <v>31</v>
      </c>
      <c r="B19" s="12" t="n">
        <f aca="false">1/B8</f>
        <v>8.33333333333333</v>
      </c>
      <c r="C19" s="12" t="n">
        <f aca="false">1/C8</f>
        <v>11.1111111111111</v>
      </c>
      <c r="D19" s="12" t="n">
        <f aca="false">1/D8</f>
        <v>16.6666666666667</v>
      </c>
      <c r="E19" s="7" t="s">
        <v>32</v>
      </c>
    </row>
    <row r="20" customFormat="false" ht="15" hidden="false" customHeight="false" outlineLevel="0" collapsed="false">
      <c r="A20" s="10" t="s">
        <v>33</v>
      </c>
      <c r="B20" s="11" t="n">
        <f aca="false">(B9*(1-B10)-B11)/B8</f>
        <v>34.1666666666667</v>
      </c>
      <c r="C20" s="11" t="n">
        <f aca="false">(C9*(1-C10)-C11)/C8</f>
        <v>49.4444444444444</v>
      </c>
      <c r="D20" s="11" t="n">
        <f aca="false">(D9*(1-D10)-D11)/D8</f>
        <v>97</v>
      </c>
      <c r="E20" s="7" t="s">
        <v>34</v>
      </c>
    </row>
    <row r="21" customFormat="false" ht="15" hidden="false" customHeight="false" outlineLevel="0" collapsed="false">
      <c r="A21" s="10" t="s">
        <v>35</v>
      </c>
      <c r="B21" s="13" t="n">
        <f aca="false">((B9*(1-B10)-B11)/B8)/B12</f>
        <v>2.27777777777778</v>
      </c>
      <c r="C21" s="13" t="n">
        <f aca="false">((C9*(1-C10)-C11)/C8)/C12</f>
        <v>6.18055555555555</v>
      </c>
      <c r="D21" s="13" t="n">
        <f aca="false">((D9*(1-D10)-D11)/D8)/D12</f>
        <v>24.25</v>
      </c>
      <c r="E21" s="7" t="s">
        <v>36</v>
      </c>
    </row>
    <row r="22" customFormat="false" ht="15" hidden="false" customHeight="false" outlineLevel="0" collapsed="false">
      <c r="A22" s="10" t="s">
        <v>37</v>
      </c>
      <c r="B22" s="12" t="n">
        <f aca="false">B12/(B9*(1-B10)-B11)</f>
        <v>3.65853658536585</v>
      </c>
      <c r="C22" s="12" t="n">
        <f aca="false">C12/(C9*(1-C10)-C11)</f>
        <v>1.79775280898876</v>
      </c>
      <c r="D22" s="12" t="n">
        <f aca="false">D12/(D9*(1-D10)-D11)</f>
        <v>0.687285223367698</v>
      </c>
      <c r="E2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24" hidden="false" customHeight="tru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4" t="s">
        <v>41</v>
      </c>
    </row>
    <row r="5" customFormat="false" ht="1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  <c r="L5" s="4" t="s">
        <v>53</v>
      </c>
      <c r="M5" s="4" t="s">
        <v>54</v>
      </c>
      <c r="N5" s="4" t="s">
        <v>55</v>
      </c>
    </row>
    <row r="6" customFormat="false" ht="15" hidden="false" customHeight="false" outlineLevel="0" collapsed="false">
      <c r="A6" s="15" t="s">
        <v>56</v>
      </c>
      <c r="B6" s="16" t="n">
        <f aca="false">Assumptions!$B$6</f>
        <v>300</v>
      </c>
      <c r="C6" s="16" t="n">
        <f aca="false">Assumptions!$B$6</f>
        <v>300</v>
      </c>
      <c r="D6" s="16" t="n">
        <f aca="false">Assumptions!$B$6</f>
        <v>300</v>
      </c>
      <c r="E6" s="16" t="n">
        <f aca="false">Assumptions!$B$6</f>
        <v>300</v>
      </c>
      <c r="F6" s="16" t="n">
        <f aca="false">Assumptions!$B$6</f>
        <v>300</v>
      </c>
      <c r="G6" s="16" t="n">
        <f aca="false">Assumptions!$B$6</f>
        <v>300</v>
      </c>
      <c r="H6" s="16" t="n">
        <f aca="false">Assumptions!$B$6</f>
        <v>300</v>
      </c>
      <c r="I6" s="16" t="n">
        <f aca="false">Assumptions!$B$6</f>
        <v>300</v>
      </c>
      <c r="J6" s="16" t="n">
        <f aca="false">Assumptions!$B$6</f>
        <v>300</v>
      </c>
      <c r="K6" s="16" t="n">
        <f aca="false">Assumptions!$B$6</f>
        <v>300</v>
      </c>
      <c r="L6" s="16" t="n">
        <f aca="false">Assumptions!$B$6</f>
        <v>300</v>
      </c>
      <c r="M6" s="16" t="n">
        <f aca="false">Assumptions!$B$6</f>
        <v>300</v>
      </c>
      <c r="N6" s="17" t="n">
        <f aca="false">SUM(B6:M6)</f>
        <v>3600</v>
      </c>
    </row>
    <row r="7" customFormat="false" ht="15" hidden="false" customHeight="false" outlineLevel="0" collapsed="false">
      <c r="A7" s="15" t="s">
        <v>57</v>
      </c>
      <c r="B7" s="18" t="n">
        <f aca="false">B6*Assumptions!$B$7</f>
        <v>6</v>
      </c>
      <c r="C7" s="18" t="n">
        <f aca="false">C6*Assumptions!$B$7</f>
        <v>6</v>
      </c>
      <c r="D7" s="18" t="n">
        <f aca="false">D6*Assumptions!$B$7</f>
        <v>6</v>
      </c>
      <c r="E7" s="18" t="n">
        <f aca="false">E6*Assumptions!$B$7</f>
        <v>6</v>
      </c>
      <c r="F7" s="18" t="n">
        <f aca="false">F6*Assumptions!$B$7</f>
        <v>6</v>
      </c>
      <c r="G7" s="18" t="n">
        <f aca="false">G6*Assumptions!$B$7</f>
        <v>6</v>
      </c>
      <c r="H7" s="18" t="n">
        <f aca="false">H6*Assumptions!$B$7</f>
        <v>6</v>
      </c>
      <c r="I7" s="18" t="n">
        <f aca="false">I6*Assumptions!$B$7</f>
        <v>6</v>
      </c>
      <c r="J7" s="18" t="n">
        <f aca="false">J6*Assumptions!$B$7</f>
        <v>6</v>
      </c>
      <c r="K7" s="18" t="n">
        <f aca="false">K6*Assumptions!$B$7</f>
        <v>6</v>
      </c>
      <c r="L7" s="18" t="n">
        <f aca="false">L6*Assumptions!$B$7</f>
        <v>6</v>
      </c>
      <c r="M7" s="18" t="n">
        <f aca="false">M6*Assumptions!$B$7</f>
        <v>6</v>
      </c>
      <c r="N7" s="17" t="n">
        <f aca="false">SUM(B7:M7)</f>
        <v>72</v>
      </c>
    </row>
    <row r="8" customFormat="false" ht="15" hidden="false" customHeight="false" outlineLevel="0" collapsed="false">
      <c r="A8" s="15" t="s">
        <v>58</v>
      </c>
      <c r="B8" s="18" t="n">
        <v>0</v>
      </c>
      <c r="C8" s="18" t="n">
        <f aca="false">B9*Assumptions!$B$8</f>
        <v>0.72</v>
      </c>
      <c r="D8" s="18" t="n">
        <f aca="false">C9*Assumptions!$B$8</f>
        <v>1.3536</v>
      </c>
      <c r="E8" s="18" t="n">
        <f aca="false">D9*Assumptions!$B$8</f>
        <v>1.911168</v>
      </c>
      <c r="F8" s="18" t="n">
        <f aca="false">E9*Assumptions!$B$8</f>
        <v>2.40182784</v>
      </c>
      <c r="G8" s="18" t="n">
        <f aca="false">F9*Assumptions!$B$8</f>
        <v>2.8336084992</v>
      </c>
      <c r="H8" s="18" t="n">
        <f aca="false">G9*Assumptions!$B$8</f>
        <v>3.213575479296</v>
      </c>
      <c r="I8" s="18" t="n">
        <f aca="false">H9*Assumptions!$B$8</f>
        <v>3.54794642178048</v>
      </c>
      <c r="J8" s="18" t="n">
        <f aca="false">I9*Assumptions!$B$8</f>
        <v>3.84219285116682</v>
      </c>
      <c r="K8" s="18" t="n">
        <f aca="false">J9*Assumptions!$B$8</f>
        <v>4.1011297090268</v>
      </c>
      <c r="L8" s="18" t="n">
        <f aca="false">K9*Assumptions!$B$8</f>
        <v>4.32899414394359</v>
      </c>
      <c r="M8" s="18" t="n">
        <f aca="false">L9*Assumptions!$B$8</f>
        <v>4.52951484667036</v>
      </c>
      <c r="N8" s="17" t="n">
        <f aca="false">SUM(B8:M8)</f>
        <v>32.7835577910841</v>
      </c>
    </row>
    <row r="9" customFormat="false" ht="15" hidden="false" customHeight="false" outlineLevel="0" collapsed="false">
      <c r="A9" s="19" t="s">
        <v>59</v>
      </c>
      <c r="B9" s="20" t="n">
        <f aca="false">B7</f>
        <v>6</v>
      </c>
      <c r="C9" s="20" t="n">
        <f aca="false">B9*(1-Assumptions!$B$8)+C7</f>
        <v>11.28</v>
      </c>
      <c r="D9" s="20" t="n">
        <f aca="false">C9*(1-Assumptions!$B$8)+D7</f>
        <v>15.9264</v>
      </c>
      <c r="E9" s="20" t="n">
        <f aca="false">D9*(1-Assumptions!$B$8)+E7</f>
        <v>20.015232</v>
      </c>
      <c r="F9" s="20" t="n">
        <f aca="false">E9*(1-Assumptions!$B$8)+F7</f>
        <v>23.61340416</v>
      </c>
      <c r="G9" s="20" t="n">
        <f aca="false">F9*(1-Assumptions!$B$8)+G7</f>
        <v>26.7797956608</v>
      </c>
      <c r="H9" s="20" t="n">
        <f aca="false">G9*(1-Assumptions!$B$8)+H7</f>
        <v>29.566220181504</v>
      </c>
      <c r="I9" s="20" t="n">
        <f aca="false">H9*(1-Assumptions!$B$8)+I7</f>
        <v>32.0182737597235</v>
      </c>
      <c r="J9" s="20" t="n">
        <f aca="false">I9*(1-Assumptions!$B$8)+J7</f>
        <v>34.1760809085567</v>
      </c>
      <c r="K9" s="20" t="n">
        <f aca="false">J9*(1-Assumptions!$B$8)+K7</f>
        <v>36.0749511995299</v>
      </c>
      <c r="L9" s="20" t="n">
        <f aca="false">K9*(1-Assumptions!$B$8)+L7</f>
        <v>37.7459570555863</v>
      </c>
      <c r="M9" s="20" t="n">
        <f aca="false">L9*(1-Assumptions!$B$8)+M7</f>
        <v>39.2164422089159</v>
      </c>
      <c r="N9" s="17" t="n">
        <f aca="false">M9</f>
        <v>39.2164422089159</v>
      </c>
    </row>
    <row r="10" customFormat="false" ht="15" hidden="false" customHeight="false" outlineLevel="0" collapsed="false">
      <c r="A10" s="15" t="s">
        <v>60</v>
      </c>
      <c r="B10" s="21" t="n">
        <f aca="false">B9*Assumptions!$B$9</f>
        <v>48</v>
      </c>
      <c r="C10" s="21" t="n">
        <f aca="false">C9*Assumptions!$B$9</f>
        <v>90.24</v>
      </c>
      <c r="D10" s="21" t="n">
        <f aca="false">D9*Assumptions!$B$9</f>
        <v>127.4112</v>
      </c>
      <c r="E10" s="21" t="n">
        <f aca="false">E9*Assumptions!$B$9</f>
        <v>160.121856</v>
      </c>
      <c r="F10" s="21" t="n">
        <f aca="false">F9*Assumptions!$B$9</f>
        <v>188.90723328</v>
      </c>
      <c r="G10" s="21" t="n">
        <f aca="false">G9*Assumptions!$B$9</f>
        <v>214.2383652864</v>
      </c>
      <c r="H10" s="21" t="n">
        <f aca="false">H9*Assumptions!$B$9</f>
        <v>236.529761452032</v>
      </c>
      <c r="I10" s="21" t="n">
        <f aca="false">I9*Assumptions!$B$9</f>
        <v>256.146190077788</v>
      </c>
      <c r="J10" s="21" t="n">
        <f aca="false">J9*Assumptions!$B$9</f>
        <v>273.408647268454</v>
      </c>
      <c r="K10" s="21" t="n">
        <f aca="false">K9*Assumptions!$B$9</f>
        <v>288.599609596239</v>
      </c>
      <c r="L10" s="21" t="n">
        <f aca="false">L9*Assumptions!$B$9</f>
        <v>301.96765644469</v>
      </c>
      <c r="M10" s="21" t="n">
        <f aca="false">M9*Assumptions!$B$9</f>
        <v>313.731537671328</v>
      </c>
      <c r="N10" s="22" t="n">
        <f aca="false">M10</f>
        <v>313.731537671328</v>
      </c>
    </row>
    <row r="11" customFormat="false" ht="15" hidden="false" customHeight="false" outlineLevel="0" collapsed="false">
      <c r="A11" s="15" t="s">
        <v>61</v>
      </c>
      <c r="B11" s="21" t="n">
        <f aca="false">B9*Assumptions!$B$9*(1-Assumptions!$B$10)</f>
        <v>33.6</v>
      </c>
      <c r="C11" s="21" t="n">
        <f aca="false">C9*Assumptions!$B$9*(1-Assumptions!$B$10)</f>
        <v>63.168</v>
      </c>
      <c r="D11" s="21" t="n">
        <f aca="false">D9*Assumptions!$B$9*(1-Assumptions!$B$10)</f>
        <v>89.18784</v>
      </c>
      <c r="E11" s="21" t="n">
        <f aca="false">E9*Assumptions!$B$9*(1-Assumptions!$B$10)</f>
        <v>112.0852992</v>
      </c>
      <c r="F11" s="21" t="n">
        <f aca="false">F9*Assumptions!$B$9*(1-Assumptions!$B$10)</f>
        <v>132.235063296</v>
      </c>
      <c r="G11" s="21" t="n">
        <f aca="false">G9*Assumptions!$B$9*(1-Assumptions!$B$10)</f>
        <v>149.96685570048</v>
      </c>
      <c r="H11" s="21" t="n">
        <f aca="false">H9*Assumptions!$B$9*(1-Assumptions!$B$10)</f>
        <v>165.570833016422</v>
      </c>
      <c r="I11" s="21" t="n">
        <f aca="false">I9*Assumptions!$B$9*(1-Assumptions!$B$10)</f>
        <v>179.302333054452</v>
      </c>
      <c r="J11" s="21" t="n">
        <f aca="false">J9*Assumptions!$B$9*(1-Assumptions!$B$10)</f>
        <v>191.386053087918</v>
      </c>
      <c r="K11" s="21" t="n">
        <f aca="false">K9*Assumptions!$B$9*(1-Assumptions!$B$10)</f>
        <v>202.019726717367</v>
      </c>
      <c r="L11" s="21" t="n">
        <f aca="false">L9*Assumptions!$B$9*(1-Assumptions!$B$10)</f>
        <v>211.377359511283</v>
      </c>
      <c r="M11" s="21" t="n">
        <f aca="false">M9*Assumptions!$B$9*(1-Assumptions!$B$10)</f>
        <v>219.612076369929</v>
      </c>
      <c r="N11" s="22" t="n">
        <f aca="false">SUM(B11:M11)</f>
        <v>1749.51143995385</v>
      </c>
    </row>
    <row r="12" customFormat="false" ht="15" hidden="false" customHeight="false" outlineLevel="0" collapsed="false">
      <c r="A12" s="15" t="s">
        <v>62</v>
      </c>
      <c r="B12" s="21" t="n">
        <f aca="false">B9*Assumptions!$B$11</f>
        <v>9</v>
      </c>
      <c r="C12" s="21" t="n">
        <f aca="false">C9*Assumptions!$B$11</f>
        <v>16.92</v>
      </c>
      <c r="D12" s="21" t="n">
        <f aca="false">D9*Assumptions!$B$11</f>
        <v>23.8896</v>
      </c>
      <c r="E12" s="21" t="n">
        <f aca="false">E9*Assumptions!$B$11</f>
        <v>30.022848</v>
      </c>
      <c r="F12" s="21" t="n">
        <f aca="false">F9*Assumptions!$B$11</f>
        <v>35.42010624</v>
      </c>
      <c r="G12" s="21" t="n">
        <f aca="false">G9*Assumptions!$B$11</f>
        <v>40.1696934912</v>
      </c>
      <c r="H12" s="21" t="n">
        <f aca="false">H9*Assumptions!$B$11</f>
        <v>44.349330272256</v>
      </c>
      <c r="I12" s="21" t="n">
        <f aca="false">I9*Assumptions!$B$11</f>
        <v>48.0274106395853</v>
      </c>
      <c r="J12" s="21" t="n">
        <f aca="false">J9*Assumptions!$B$11</f>
        <v>51.2641213628351</v>
      </c>
      <c r="K12" s="21" t="n">
        <f aca="false">K9*Assumptions!$B$11</f>
        <v>54.1124267992948</v>
      </c>
      <c r="L12" s="21" t="n">
        <f aca="false">L9*Assumptions!$B$11</f>
        <v>56.6189355833795</v>
      </c>
      <c r="M12" s="21" t="n">
        <f aca="false">M9*Assumptions!$B$11</f>
        <v>58.8246633133739</v>
      </c>
      <c r="N12" s="22" t="n">
        <f aca="false">SUM(B12:M12)</f>
        <v>468.619135701925</v>
      </c>
    </row>
    <row r="13" customFormat="false" ht="15" hidden="false" customHeight="false" outlineLevel="0" collapsed="false">
      <c r="A13" s="15" t="s">
        <v>63</v>
      </c>
      <c r="B13" s="21" t="n">
        <f aca="false">B7*Assumptions!$B$12</f>
        <v>90</v>
      </c>
      <c r="C13" s="21" t="n">
        <f aca="false">C7*Assumptions!$B$12</f>
        <v>90</v>
      </c>
      <c r="D13" s="21" t="n">
        <f aca="false">D7*Assumptions!$B$12</f>
        <v>90</v>
      </c>
      <c r="E13" s="21" t="n">
        <f aca="false">E7*Assumptions!$B$12</f>
        <v>90</v>
      </c>
      <c r="F13" s="21" t="n">
        <f aca="false">F7*Assumptions!$B$12</f>
        <v>90</v>
      </c>
      <c r="G13" s="21" t="n">
        <f aca="false">G7*Assumptions!$B$12</f>
        <v>90</v>
      </c>
      <c r="H13" s="21" t="n">
        <f aca="false">H7*Assumptions!$B$12</f>
        <v>90</v>
      </c>
      <c r="I13" s="21" t="n">
        <f aca="false">I7*Assumptions!$B$12</f>
        <v>90</v>
      </c>
      <c r="J13" s="21" t="n">
        <f aca="false">J7*Assumptions!$B$12</f>
        <v>90</v>
      </c>
      <c r="K13" s="21" t="n">
        <f aca="false">K7*Assumptions!$B$12</f>
        <v>90</v>
      </c>
      <c r="L13" s="21" t="n">
        <f aca="false">L7*Assumptions!$B$12</f>
        <v>90</v>
      </c>
      <c r="M13" s="21" t="n">
        <f aca="false">M7*Assumptions!$B$12</f>
        <v>90</v>
      </c>
      <c r="N13" s="22" t="n">
        <f aca="false">SUM(B13:M13)</f>
        <v>1080</v>
      </c>
    </row>
    <row r="14" customFormat="false" ht="15" hidden="false" customHeight="false" outlineLevel="0" collapsed="false">
      <c r="A14" s="15" t="s">
        <v>64</v>
      </c>
      <c r="B14" s="21" t="n">
        <f aca="false">Assumptions!$B$13</f>
        <v>300</v>
      </c>
      <c r="C14" s="21" t="n">
        <f aca="false">Assumptions!$B$13</f>
        <v>300</v>
      </c>
      <c r="D14" s="21" t="n">
        <f aca="false">Assumptions!$B$13</f>
        <v>300</v>
      </c>
      <c r="E14" s="21" t="n">
        <f aca="false">Assumptions!$B$13</f>
        <v>300</v>
      </c>
      <c r="F14" s="21" t="n">
        <f aca="false">Assumptions!$B$13</f>
        <v>300</v>
      </c>
      <c r="G14" s="21" t="n">
        <f aca="false">Assumptions!$B$13</f>
        <v>300</v>
      </c>
      <c r="H14" s="21" t="n">
        <f aca="false">Assumptions!$B$13</f>
        <v>300</v>
      </c>
      <c r="I14" s="21" t="n">
        <f aca="false">Assumptions!$B$13</f>
        <v>300</v>
      </c>
      <c r="J14" s="21" t="n">
        <f aca="false">Assumptions!$B$13</f>
        <v>300</v>
      </c>
      <c r="K14" s="21" t="n">
        <f aca="false">Assumptions!$B$13</f>
        <v>300</v>
      </c>
      <c r="L14" s="21" t="n">
        <f aca="false">Assumptions!$B$13</f>
        <v>300</v>
      </c>
      <c r="M14" s="21" t="n">
        <f aca="false">Assumptions!$B$13</f>
        <v>300</v>
      </c>
      <c r="N14" s="22" t="n">
        <f aca="false">SUM(B14:M14)</f>
        <v>3600</v>
      </c>
    </row>
    <row r="15" customFormat="false" ht="15" hidden="false" customHeight="false" outlineLevel="0" collapsed="false">
      <c r="A15" s="19" t="s">
        <v>65</v>
      </c>
      <c r="B15" s="23" t="n">
        <f aca="false">B11-B12-B13-B14</f>
        <v>-365.4</v>
      </c>
      <c r="C15" s="23" t="n">
        <f aca="false">C11-C12-C13-C14</f>
        <v>-343.752</v>
      </c>
      <c r="D15" s="23" t="n">
        <f aca="false">D11-D12-D13-D14</f>
        <v>-324.70176</v>
      </c>
      <c r="E15" s="23" t="n">
        <f aca="false">E11-E12-E13-E14</f>
        <v>-307.9375488</v>
      </c>
      <c r="F15" s="23" t="n">
        <f aca="false">F11-F12-F13-F14</f>
        <v>-293.185042944</v>
      </c>
      <c r="G15" s="23" t="n">
        <f aca="false">G11-G12-G13-G14</f>
        <v>-280.20283779072</v>
      </c>
      <c r="H15" s="23" t="n">
        <f aca="false">H11-H12-H13-H14</f>
        <v>-268.778497255834</v>
      </c>
      <c r="I15" s="23" t="n">
        <f aca="false">I11-I12-I13-I14</f>
        <v>-258.725077585134</v>
      </c>
      <c r="J15" s="23" t="n">
        <f aca="false">J11-J12-J13-J14</f>
        <v>-249.878068274918</v>
      </c>
      <c r="K15" s="23" t="n">
        <f aca="false">K11-K12-K13-K14</f>
        <v>-242.092700081927</v>
      </c>
      <c r="L15" s="23" t="n">
        <f aca="false">L11-L12-L13-L14</f>
        <v>-235.241576072096</v>
      </c>
      <c r="M15" s="23" t="n">
        <f aca="false">M11-M12-M13-M14</f>
        <v>-229.212586943445</v>
      </c>
      <c r="N15" s="22" t="n">
        <f aca="false">SUM(B15:M15)</f>
        <v>-3399.10769574807</v>
      </c>
    </row>
    <row r="16" customFormat="false" ht="15" hidden="false" customHeight="false" outlineLevel="0" collapsed="false">
      <c r="A16" s="15" t="s">
        <v>66</v>
      </c>
      <c r="B16" s="24" t="n">
        <f aca="false">B15</f>
        <v>-365.4</v>
      </c>
      <c r="C16" s="24" t="n">
        <f aca="false">B16+C15</f>
        <v>-709.152</v>
      </c>
      <c r="D16" s="24" t="n">
        <f aca="false">C16+D15</f>
        <v>-1033.85376</v>
      </c>
      <c r="E16" s="24" t="n">
        <f aca="false">D16+E15</f>
        <v>-1341.7913088</v>
      </c>
      <c r="F16" s="24" t="n">
        <f aca="false">E16+F15</f>
        <v>-1634.976351744</v>
      </c>
      <c r="G16" s="24" t="n">
        <f aca="false">F16+G15</f>
        <v>-1915.17918953472</v>
      </c>
      <c r="H16" s="24" t="n">
        <f aca="false">G16+H15</f>
        <v>-2183.95768679055</v>
      </c>
      <c r="I16" s="24" t="n">
        <f aca="false">H16+I15</f>
        <v>-2442.68276437569</v>
      </c>
      <c r="J16" s="24" t="n">
        <f aca="false">I16+J15</f>
        <v>-2692.5608326506</v>
      </c>
      <c r="K16" s="24" t="n">
        <f aca="false">J16+K15</f>
        <v>-2934.65353273253</v>
      </c>
      <c r="L16" s="24" t="n">
        <f aca="false">K16+L15</f>
        <v>-3169.89510880463</v>
      </c>
      <c r="M16" s="24" t="n">
        <f aca="false">L16+M15</f>
        <v>-3399.10769574807</v>
      </c>
      <c r="N16" s="22" t="n">
        <f aca="false">M16</f>
        <v>-3399.10769574807</v>
      </c>
    </row>
    <row r="19" customFormat="false" ht="15" hidden="false" customHeight="false" outlineLevel="0" collapsed="false">
      <c r="A19" s="14" t="s">
        <v>67</v>
      </c>
    </row>
    <row r="20" customFormat="false" ht="15" hidden="false" customHeight="false" outlineLevel="0" collapsed="false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  <c r="H20" s="4" t="s">
        <v>49</v>
      </c>
      <c r="I20" s="4" t="s">
        <v>50</v>
      </c>
      <c r="J20" s="4" t="s">
        <v>51</v>
      </c>
      <c r="K20" s="4" t="s">
        <v>52</v>
      </c>
      <c r="L20" s="4" t="s">
        <v>53</v>
      </c>
      <c r="M20" s="4" t="s">
        <v>54</v>
      </c>
      <c r="N20" s="4" t="s">
        <v>55</v>
      </c>
    </row>
    <row r="21" customFormat="false" ht="15" hidden="false" customHeight="false" outlineLevel="0" collapsed="false">
      <c r="A21" s="15" t="s">
        <v>56</v>
      </c>
      <c r="B21" s="16" t="n">
        <f aca="false">Assumptions!$C$6</f>
        <v>800</v>
      </c>
      <c r="C21" s="16" t="n">
        <f aca="false">Assumptions!$C$6</f>
        <v>800</v>
      </c>
      <c r="D21" s="16" t="n">
        <f aca="false">Assumptions!$C$6</f>
        <v>800</v>
      </c>
      <c r="E21" s="16" t="n">
        <f aca="false">Assumptions!$C$6</f>
        <v>800</v>
      </c>
      <c r="F21" s="16" t="n">
        <f aca="false">Assumptions!$C$6</f>
        <v>800</v>
      </c>
      <c r="G21" s="16" t="n">
        <f aca="false">Assumptions!$C$6</f>
        <v>800</v>
      </c>
      <c r="H21" s="16" t="n">
        <f aca="false">Assumptions!$C$6</f>
        <v>800</v>
      </c>
      <c r="I21" s="16" t="n">
        <f aca="false">Assumptions!$C$6</f>
        <v>800</v>
      </c>
      <c r="J21" s="16" t="n">
        <f aca="false">Assumptions!$C$6</f>
        <v>800</v>
      </c>
      <c r="K21" s="16" t="n">
        <f aca="false">Assumptions!$C$6</f>
        <v>800</v>
      </c>
      <c r="L21" s="16" t="n">
        <f aca="false">Assumptions!$C$6</f>
        <v>800</v>
      </c>
      <c r="M21" s="16" t="n">
        <f aca="false">Assumptions!$C$6</f>
        <v>800</v>
      </c>
      <c r="N21" s="17" t="n">
        <f aca="false">SUM(B21:M21)</f>
        <v>9600</v>
      </c>
    </row>
    <row r="22" customFormat="false" ht="15" hidden="false" customHeight="false" outlineLevel="0" collapsed="false">
      <c r="A22" s="15" t="s">
        <v>57</v>
      </c>
      <c r="B22" s="18" t="n">
        <f aca="false">B21*Assumptions!$C$7</f>
        <v>32</v>
      </c>
      <c r="C22" s="18" t="n">
        <f aca="false">C21*Assumptions!$C$7</f>
        <v>32</v>
      </c>
      <c r="D22" s="18" t="n">
        <f aca="false">D21*Assumptions!$C$7</f>
        <v>32</v>
      </c>
      <c r="E22" s="18" t="n">
        <f aca="false">E21*Assumptions!$C$7</f>
        <v>32</v>
      </c>
      <c r="F22" s="18" t="n">
        <f aca="false">F21*Assumptions!$C$7</f>
        <v>32</v>
      </c>
      <c r="G22" s="18" t="n">
        <f aca="false">G21*Assumptions!$C$7</f>
        <v>32</v>
      </c>
      <c r="H22" s="18" t="n">
        <f aca="false">H21*Assumptions!$C$7</f>
        <v>32</v>
      </c>
      <c r="I22" s="18" t="n">
        <f aca="false">I21*Assumptions!$C$7</f>
        <v>32</v>
      </c>
      <c r="J22" s="18" t="n">
        <f aca="false">J21*Assumptions!$C$7</f>
        <v>32</v>
      </c>
      <c r="K22" s="18" t="n">
        <f aca="false">K21*Assumptions!$C$7</f>
        <v>32</v>
      </c>
      <c r="L22" s="18" t="n">
        <f aca="false">L21*Assumptions!$C$7</f>
        <v>32</v>
      </c>
      <c r="M22" s="18" t="n">
        <f aca="false">M21*Assumptions!$C$7</f>
        <v>32</v>
      </c>
      <c r="N22" s="17" t="n">
        <f aca="false">SUM(B22:M22)</f>
        <v>384</v>
      </c>
    </row>
    <row r="23" customFormat="false" ht="15" hidden="false" customHeight="false" outlineLevel="0" collapsed="false">
      <c r="A23" s="15" t="s">
        <v>58</v>
      </c>
      <c r="B23" s="18" t="n">
        <v>0</v>
      </c>
      <c r="C23" s="18" t="n">
        <f aca="false">B24*Assumptions!$C$8</f>
        <v>2.88</v>
      </c>
      <c r="D23" s="18" t="n">
        <f aca="false">C24*Assumptions!$C$8</f>
        <v>5.5008</v>
      </c>
      <c r="E23" s="18" t="n">
        <f aca="false">D24*Assumptions!$C$8</f>
        <v>7.885728</v>
      </c>
      <c r="F23" s="18" t="n">
        <f aca="false">E24*Assumptions!$C$8</f>
        <v>10.05601248</v>
      </c>
      <c r="G23" s="18" t="n">
        <f aca="false">F24*Assumptions!$C$8</f>
        <v>12.0309713568</v>
      </c>
      <c r="H23" s="18" t="n">
        <f aca="false">G24*Assumptions!$C$8</f>
        <v>13.828183934688</v>
      </c>
      <c r="I23" s="18" t="n">
        <f aca="false">H24*Assumptions!$C$8</f>
        <v>15.4636473805661</v>
      </c>
      <c r="J23" s="18" t="n">
        <f aca="false">I24*Assumptions!$C$8</f>
        <v>16.9519191163151</v>
      </c>
      <c r="K23" s="18" t="n">
        <f aca="false">J24*Assumptions!$C$8</f>
        <v>18.3062463958468</v>
      </c>
      <c r="L23" s="18" t="n">
        <f aca="false">K24*Assumptions!$C$8</f>
        <v>19.5386842202206</v>
      </c>
      <c r="M23" s="18" t="n">
        <f aca="false">L24*Assumptions!$C$8</f>
        <v>20.6602026404007</v>
      </c>
      <c r="N23" s="17" t="n">
        <f aca="false">SUM(B23:M23)</f>
        <v>143.102395524837</v>
      </c>
    </row>
    <row r="24" customFormat="false" ht="15" hidden="false" customHeight="false" outlineLevel="0" collapsed="false">
      <c r="A24" s="19" t="s">
        <v>59</v>
      </c>
      <c r="B24" s="20" t="n">
        <f aca="false">B22</f>
        <v>32</v>
      </c>
      <c r="C24" s="20" t="n">
        <f aca="false">B24*(1-Assumptions!$C$8)+C22</f>
        <v>61.12</v>
      </c>
      <c r="D24" s="20" t="n">
        <f aca="false">C24*(1-Assumptions!$C$8)+D22</f>
        <v>87.6192</v>
      </c>
      <c r="E24" s="20" t="n">
        <f aca="false">D24*(1-Assumptions!$C$8)+E22</f>
        <v>111.733472</v>
      </c>
      <c r="F24" s="20" t="n">
        <f aca="false">E24*(1-Assumptions!$C$8)+F22</f>
        <v>133.67745952</v>
      </c>
      <c r="G24" s="20" t="n">
        <f aca="false">F24*(1-Assumptions!$C$8)+G22</f>
        <v>153.6464881632</v>
      </c>
      <c r="H24" s="20" t="n">
        <f aca="false">G24*(1-Assumptions!$C$8)+H22</f>
        <v>171.818304228512</v>
      </c>
      <c r="I24" s="20" t="n">
        <f aca="false">H24*(1-Assumptions!$C$8)+I22</f>
        <v>188.354656847946</v>
      </c>
      <c r="J24" s="20" t="n">
        <f aca="false">I24*(1-Assumptions!$C$8)+J22</f>
        <v>203.402737731631</v>
      </c>
      <c r="K24" s="20" t="n">
        <f aca="false">J24*(1-Assumptions!$C$8)+K22</f>
        <v>217.096491335784</v>
      </c>
      <c r="L24" s="20" t="n">
        <f aca="false">K24*(1-Assumptions!$C$8)+L22</f>
        <v>229.557807115564</v>
      </c>
      <c r="M24" s="20" t="n">
        <f aca="false">L24*(1-Assumptions!$C$8)+M22</f>
        <v>240.897604475163</v>
      </c>
      <c r="N24" s="17" t="n">
        <f aca="false">M24</f>
        <v>240.897604475163</v>
      </c>
    </row>
    <row r="25" customFormat="false" ht="15" hidden="false" customHeight="false" outlineLevel="0" collapsed="false">
      <c r="A25" s="15" t="s">
        <v>60</v>
      </c>
      <c r="B25" s="21" t="n">
        <f aca="false">B24*Assumptions!$C$9</f>
        <v>272</v>
      </c>
      <c r="C25" s="21" t="n">
        <f aca="false">C24*Assumptions!$C$9</f>
        <v>519.52</v>
      </c>
      <c r="D25" s="21" t="n">
        <f aca="false">D24*Assumptions!$C$9</f>
        <v>744.7632</v>
      </c>
      <c r="E25" s="21" t="n">
        <f aca="false">E24*Assumptions!$C$9</f>
        <v>949.734512</v>
      </c>
      <c r="F25" s="21" t="n">
        <f aca="false">F24*Assumptions!$C$9</f>
        <v>1136.25840592</v>
      </c>
      <c r="G25" s="21" t="n">
        <f aca="false">G24*Assumptions!$C$9</f>
        <v>1305.9951493872</v>
      </c>
      <c r="H25" s="21" t="n">
        <f aca="false">H24*Assumptions!$C$9</f>
        <v>1460.45558594235</v>
      </c>
      <c r="I25" s="21" t="n">
        <f aca="false">I24*Assumptions!$C$9</f>
        <v>1601.01458320754</v>
      </c>
      <c r="J25" s="21" t="n">
        <f aca="false">J24*Assumptions!$C$9</f>
        <v>1728.92327071886</v>
      </c>
      <c r="K25" s="21" t="n">
        <f aca="false">K24*Assumptions!$C$9</f>
        <v>1845.32017635416</v>
      </c>
      <c r="L25" s="21" t="n">
        <f aca="false">L24*Assumptions!$C$9</f>
        <v>1951.24136048229</v>
      </c>
      <c r="M25" s="21" t="n">
        <f aca="false">M24*Assumptions!$C$9</f>
        <v>2047.62963803888</v>
      </c>
      <c r="N25" s="22" t="n">
        <f aca="false">M25</f>
        <v>2047.62963803888</v>
      </c>
    </row>
    <row r="26" customFormat="false" ht="15" hidden="false" customHeight="false" outlineLevel="0" collapsed="false">
      <c r="A26" s="15" t="s">
        <v>61</v>
      </c>
      <c r="B26" s="21" t="n">
        <f aca="false">B24*Assumptions!$C$9*(1-Assumptions!$C$10)</f>
        <v>190.4</v>
      </c>
      <c r="C26" s="21" t="n">
        <f aca="false">C24*Assumptions!$C$9*(1-Assumptions!$C$10)</f>
        <v>363.664</v>
      </c>
      <c r="D26" s="21" t="n">
        <f aca="false">D24*Assumptions!$C$9*(1-Assumptions!$C$10)</f>
        <v>521.33424</v>
      </c>
      <c r="E26" s="21" t="n">
        <f aca="false">E24*Assumptions!$C$9*(1-Assumptions!$C$10)</f>
        <v>664.8141584</v>
      </c>
      <c r="F26" s="21" t="n">
        <f aca="false">F24*Assumptions!$C$9*(1-Assumptions!$C$10)</f>
        <v>795.380884144</v>
      </c>
      <c r="G26" s="21" t="n">
        <f aca="false">G24*Assumptions!$C$9*(1-Assumptions!$C$10)</f>
        <v>914.19660457104</v>
      </c>
      <c r="H26" s="21" t="n">
        <f aca="false">H24*Assumptions!$C$9*(1-Assumptions!$C$10)</f>
        <v>1022.31891015965</v>
      </c>
      <c r="I26" s="21" t="n">
        <f aca="false">I24*Assumptions!$C$9*(1-Assumptions!$C$10)</f>
        <v>1120.71020824528</v>
      </c>
      <c r="J26" s="21" t="n">
        <f aca="false">J24*Assumptions!$C$9*(1-Assumptions!$C$10)</f>
        <v>1210.2462895032</v>
      </c>
      <c r="K26" s="21" t="n">
        <f aca="false">K24*Assumptions!$C$9*(1-Assumptions!$C$10)</f>
        <v>1291.72412344792</v>
      </c>
      <c r="L26" s="21" t="n">
        <f aca="false">L24*Assumptions!$C$9*(1-Assumptions!$C$10)</f>
        <v>1365.8689523376</v>
      </c>
      <c r="M26" s="21" t="n">
        <f aca="false">M24*Assumptions!$C$9*(1-Assumptions!$C$10)</f>
        <v>1433.34074662722</v>
      </c>
      <c r="N26" s="22" t="n">
        <f aca="false">SUM(B26:M26)</f>
        <v>10893.9991174359</v>
      </c>
    </row>
    <row r="27" customFormat="false" ht="15" hidden="false" customHeight="false" outlineLevel="0" collapsed="false">
      <c r="A27" s="15" t="s">
        <v>62</v>
      </c>
      <c r="B27" s="21" t="n">
        <f aca="false">B24*Assumptions!$C$11</f>
        <v>48</v>
      </c>
      <c r="C27" s="21" t="n">
        <f aca="false">C24*Assumptions!$C$11</f>
        <v>91.68</v>
      </c>
      <c r="D27" s="21" t="n">
        <f aca="false">D24*Assumptions!$C$11</f>
        <v>131.4288</v>
      </c>
      <c r="E27" s="21" t="n">
        <f aca="false">E24*Assumptions!$C$11</f>
        <v>167.600208</v>
      </c>
      <c r="F27" s="21" t="n">
        <f aca="false">F24*Assumptions!$C$11</f>
        <v>200.51618928</v>
      </c>
      <c r="G27" s="21" t="n">
        <f aca="false">G24*Assumptions!$C$11</f>
        <v>230.4697322448</v>
      </c>
      <c r="H27" s="21" t="n">
        <f aca="false">H24*Assumptions!$C$11</f>
        <v>257.727456342768</v>
      </c>
      <c r="I27" s="21" t="n">
        <f aca="false">I24*Assumptions!$C$11</f>
        <v>282.531985271919</v>
      </c>
      <c r="J27" s="21" t="n">
        <f aca="false">J24*Assumptions!$C$11</f>
        <v>305.104106597446</v>
      </c>
      <c r="K27" s="21" t="n">
        <f aca="false">K24*Assumptions!$C$11</f>
        <v>325.644737003676</v>
      </c>
      <c r="L27" s="21" t="n">
        <f aca="false">L24*Assumptions!$C$11</f>
        <v>344.336710673345</v>
      </c>
      <c r="M27" s="21" t="n">
        <f aca="false">M24*Assumptions!$C$11</f>
        <v>361.346406712744</v>
      </c>
      <c r="N27" s="22" t="n">
        <f aca="false">SUM(B27:M27)</f>
        <v>2746.3863321267</v>
      </c>
    </row>
    <row r="28" customFormat="false" ht="15" hidden="false" customHeight="false" outlineLevel="0" collapsed="false">
      <c r="A28" s="15" t="s">
        <v>63</v>
      </c>
      <c r="B28" s="21" t="n">
        <f aca="false">B22*Assumptions!$C$12</f>
        <v>256</v>
      </c>
      <c r="C28" s="21" t="n">
        <f aca="false">C22*Assumptions!$C$12</f>
        <v>256</v>
      </c>
      <c r="D28" s="21" t="n">
        <f aca="false">D22*Assumptions!$C$12</f>
        <v>256</v>
      </c>
      <c r="E28" s="21" t="n">
        <f aca="false">E22*Assumptions!$C$12</f>
        <v>256</v>
      </c>
      <c r="F28" s="21" t="n">
        <f aca="false">F22*Assumptions!$C$12</f>
        <v>256</v>
      </c>
      <c r="G28" s="21" t="n">
        <f aca="false">G22*Assumptions!$C$12</f>
        <v>256</v>
      </c>
      <c r="H28" s="21" t="n">
        <f aca="false">H22*Assumptions!$C$12</f>
        <v>256</v>
      </c>
      <c r="I28" s="21" t="n">
        <f aca="false">I22*Assumptions!$C$12</f>
        <v>256</v>
      </c>
      <c r="J28" s="21" t="n">
        <f aca="false">J22*Assumptions!$C$12</f>
        <v>256</v>
      </c>
      <c r="K28" s="21" t="n">
        <f aca="false">K22*Assumptions!$C$12</f>
        <v>256</v>
      </c>
      <c r="L28" s="21" t="n">
        <f aca="false">L22*Assumptions!$C$12</f>
        <v>256</v>
      </c>
      <c r="M28" s="21" t="n">
        <f aca="false">M22*Assumptions!$C$12</f>
        <v>256</v>
      </c>
      <c r="N28" s="22" t="n">
        <f aca="false">SUM(B28:M28)</f>
        <v>3072</v>
      </c>
    </row>
    <row r="29" customFormat="false" ht="15" hidden="false" customHeight="false" outlineLevel="0" collapsed="false">
      <c r="A29" s="15" t="s">
        <v>64</v>
      </c>
      <c r="B29" s="21" t="n">
        <f aca="false">Assumptions!$C$13</f>
        <v>300</v>
      </c>
      <c r="C29" s="21" t="n">
        <f aca="false">Assumptions!$C$13</f>
        <v>300</v>
      </c>
      <c r="D29" s="21" t="n">
        <f aca="false">Assumptions!$C$13</f>
        <v>300</v>
      </c>
      <c r="E29" s="21" t="n">
        <f aca="false">Assumptions!$C$13</f>
        <v>300</v>
      </c>
      <c r="F29" s="21" t="n">
        <f aca="false">Assumptions!$C$13</f>
        <v>300</v>
      </c>
      <c r="G29" s="21" t="n">
        <f aca="false">Assumptions!$C$13</f>
        <v>300</v>
      </c>
      <c r="H29" s="21" t="n">
        <f aca="false">Assumptions!$C$13</f>
        <v>300</v>
      </c>
      <c r="I29" s="21" t="n">
        <f aca="false">Assumptions!$C$13</f>
        <v>300</v>
      </c>
      <c r="J29" s="21" t="n">
        <f aca="false">Assumptions!$C$13</f>
        <v>300</v>
      </c>
      <c r="K29" s="21" t="n">
        <f aca="false">Assumptions!$C$13</f>
        <v>300</v>
      </c>
      <c r="L29" s="21" t="n">
        <f aca="false">Assumptions!$C$13</f>
        <v>300</v>
      </c>
      <c r="M29" s="21" t="n">
        <f aca="false">Assumptions!$C$13</f>
        <v>300</v>
      </c>
      <c r="N29" s="22" t="n">
        <f aca="false">SUM(B29:M29)</f>
        <v>3600</v>
      </c>
    </row>
    <row r="30" customFormat="false" ht="15" hidden="false" customHeight="false" outlineLevel="0" collapsed="false">
      <c r="A30" s="19" t="s">
        <v>65</v>
      </c>
      <c r="B30" s="23" t="n">
        <f aca="false">B26-B27-B28-B29</f>
        <v>-413.6</v>
      </c>
      <c r="C30" s="23" t="n">
        <f aca="false">C26-C27-C28-C29</f>
        <v>-284.016</v>
      </c>
      <c r="D30" s="23" t="n">
        <f aca="false">D26-D27-D28-D29</f>
        <v>-166.09456</v>
      </c>
      <c r="E30" s="23" t="n">
        <f aca="false">E26-E27-E28-E29</f>
        <v>-58.7860496</v>
      </c>
      <c r="F30" s="23" t="n">
        <f aca="false">F26-F27-F28-F29</f>
        <v>38.8646948639999</v>
      </c>
      <c r="G30" s="23" t="n">
        <f aca="false">G26-G27-G28-G29</f>
        <v>127.72687232624</v>
      </c>
      <c r="H30" s="23" t="n">
        <f aca="false">H26-H27-H28-H29</f>
        <v>208.591453816878</v>
      </c>
      <c r="I30" s="23" t="n">
        <f aca="false">I26-I27-I28-I29</f>
        <v>282.178222973359</v>
      </c>
      <c r="J30" s="23" t="n">
        <f aca="false">J26-J27-J28-J29</f>
        <v>349.142182905757</v>
      </c>
      <c r="K30" s="23" t="n">
        <f aca="false">K26-K27-K28-K29</f>
        <v>410.079386444239</v>
      </c>
      <c r="L30" s="23" t="n">
        <f aca="false">L26-L27-L28-L29</f>
        <v>465.532241664258</v>
      </c>
      <c r="M30" s="23" t="n">
        <f aca="false">M26-M27-M28-M29</f>
        <v>515.994339914475</v>
      </c>
      <c r="N30" s="22" t="n">
        <f aca="false">SUM(B30:M30)</f>
        <v>1475.61278530921</v>
      </c>
    </row>
    <row r="31" customFormat="false" ht="15" hidden="false" customHeight="false" outlineLevel="0" collapsed="false">
      <c r="A31" s="15" t="s">
        <v>66</v>
      </c>
      <c r="B31" s="24" t="n">
        <f aca="false">B30</f>
        <v>-413.6</v>
      </c>
      <c r="C31" s="24" t="n">
        <f aca="false">B31+C30</f>
        <v>-697.616</v>
      </c>
      <c r="D31" s="24" t="n">
        <f aca="false">C31+D30</f>
        <v>-863.71056</v>
      </c>
      <c r="E31" s="24" t="n">
        <f aca="false">D31+E30</f>
        <v>-922.4966096</v>
      </c>
      <c r="F31" s="24" t="n">
        <f aca="false">E31+F30</f>
        <v>-883.631914736</v>
      </c>
      <c r="G31" s="24" t="n">
        <f aca="false">F31+G30</f>
        <v>-755.90504240976</v>
      </c>
      <c r="H31" s="24" t="n">
        <f aca="false">G31+H30</f>
        <v>-547.313588592882</v>
      </c>
      <c r="I31" s="24" t="n">
        <f aca="false">H31+I30</f>
        <v>-265.135365619522</v>
      </c>
      <c r="J31" s="24" t="n">
        <f aca="false">I31+J30</f>
        <v>84.0068172862349</v>
      </c>
      <c r="K31" s="24" t="n">
        <f aca="false">J31+K30</f>
        <v>494.086203730474</v>
      </c>
      <c r="L31" s="24" t="n">
        <f aca="false">K31+L30</f>
        <v>959.618445394731</v>
      </c>
      <c r="M31" s="24" t="n">
        <f aca="false">L31+M30</f>
        <v>1475.61278530921</v>
      </c>
      <c r="N31" s="22" t="n">
        <f aca="false">M31</f>
        <v>1475.61278530921</v>
      </c>
    </row>
    <row r="34" customFormat="false" ht="15" hidden="false" customHeight="false" outlineLevel="0" collapsed="false">
      <c r="A34" s="14" t="s">
        <v>68</v>
      </c>
    </row>
    <row r="35" customFormat="false" ht="15" hidden="false" customHeight="false" outlineLevel="0" collapsed="false">
      <c r="A35" s="4" t="s">
        <v>42</v>
      </c>
      <c r="B35" s="4" t="s">
        <v>43</v>
      </c>
      <c r="C35" s="4" t="s">
        <v>44</v>
      </c>
      <c r="D35" s="4" t="s">
        <v>45</v>
      </c>
      <c r="E35" s="4" t="s">
        <v>46</v>
      </c>
      <c r="F35" s="4" t="s">
        <v>47</v>
      </c>
      <c r="G35" s="4" t="s">
        <v>48</v>
      </c>
      <c r="H35" s="4" t="s">
        <v>49</v>
      </c>
      <c r="I35" s="4" t="s">
        <v>50</v>
      </c>
      <c r="J35" s="4" t="s">
        <v>51</v>
      </c>
      <c r="K35" s="4" t="s">
        <v>52</v>
      </c>
      <c r="L35" s="4" t="s">
        <v>53</v>
      </c>
      <c r="M35" s="4" t="s">
        <v>54</v>
      </c>
      <c r="N35" s="4" t="s">
        <v>55</v>
      </c>
    </row>
    <row r="36" customFormat="false" ht="15" hidden="false" customHeight="false" outlineLevel="0" collapsed="false">
      <c r="A36" s="15" t="s">
        <v>56</v>
      </c>
      <c r="B36" s="16" t="n">
        <f aca="false">Assumptions!$D$6</f>
        <v>2000</v>
      </c>
      <c r="C36" s="16" t="n">
        <f aca="false">Assumptions!$D$6</f>
        <v>2000</v>
      </c>
      <c r="D36" s="16" t="n">
        <f aca="false">Assumptions!$D$6</f>
        <v>2000</v>
      </c>
      <c r="E36" s="16" t="n">
        <f aca="false">Assumptions!$D$6</f>
        <v>2000</v>
      </c>
      <c r="F36" s="16" t="n">
        <f aca="false">Assumptions!$D$6</f>
        <v>2000</v>
      </c>
      <c r="G36" s="16" t="n">
        <f aca="false">Assumptions!$D$6</f>
        <v>2000</v>
      </c>
      <c r="H36" s="16" t="n">
        <f aca="false">Assumptions!$D$6</f>
        <v>2000</v>
      </c>
      <c r="I36" s="16" t="n">
        <f aca="false">Assumptions!$D$6</f>
        <v>2000</v>
      </c>
      <c r="J36" s="16" t="n">
        <f aca="false">Assumptions!$D$6</f>
        <v>2000</v>
      </c>
      <c r="K36" s="16" t="n">
        <f aca="false">Assumptions!$D$6</f>
        <v>2000</v>
      </c>
      <c r="L36" s="16" t="n">
        <f aca="false">Assumptions!$D$6</f>
        <v>2000</v>
      </c>
      <c r="M36" s="16" t="n">
        <f aca="false">Assumptions!$D$6</f>
        <v>2000</v>
      </c>
      <c r="N36" s="17" t="n">
        <f aca="false">SUM(B36:M36)</f>
        <v>24000</v>
      </c>
    </row>
    <row r="37" customFormat="false" ht="15" hidden="false" customHeight="false" outlineLevel="0" collapsed="false">
      <c r="A37" s="15" t="s">
        <v>57</v>
      </c>
      <c r="B37" s="18" t="n">
        <f aca="false">B36*Assumptions!$D$7</f>
        <v>140</v>
      </c>
      <c r="C37" s="18" t="n">
        <f aca="false">C36*Assumptions!$D$7</f>
        <v>140</v>
      </c>
      <c r="D37" s="18" t="n">
        <f aca="false">D36*Assumptions!$D$7</f>
        <v>140</v>
      </c>
      <c r="E37" s="18" t="n">
        <f aca="false">E36*Assumptions!$D$7</f>
        <v>140</v>
      </c>
      <c r="F37" s="18" t="n">
        <f aca="false">F36*Assumptions!$D$7</f>
        <v>140</v>
      </c>
      <c r="G37" s="18" t="n">
        <f aca="false">G36*Assumptions!$D$7</f>
        <v>140</v>
      </c>
      <c r="H37" s="18" t="n">
        <f aca="false">H36*Assumptions!$D$7</f>
        <v>140</v>
      </c>
      <c r="I37" s="18" t="n">
        <f aca="false">I36*Assumptions!$D$7</f>
        <v>140</v>
      </c>
      <c r="J37" s="18" t="n">
        <f aca="false">J36*Assumptions!$D$7</f>
        <v>140</v>
      </c>
      <c r="K37" s="18" t="n">
        <f aca="false">K36*Assumptions!$D$7</f>
        <v>140</v>
      </c>
      <c r="L37" s="18" t="n">
        <f aca="false">L36*Assumptions!$D$7</f>
        <v>140</v>
      </c>
      <c r="M37" s="18" t="n">
        <f aca="false">M36*Assumptions!$D$7</f>
        <v>140</v>
      </c>
      <c r="N37" s="17" t="n">
        <f aca="false">SUM(B37:M37)</f>
        <v>1680</v>
      </c>
    </row>
    <row r="38" customFormat="false" ht="15" hidden="false" customHeight="false" outlineLevel="0" collapsed="false">
      <c r="A38" s="15" t="s">
        <v>58</v>
      </c>
      <c r="B38" s="18" t="n">
        <v>0</v>
      </c>
      <c r="C38" s="18" t="n">
        <f aca="false">B39*Assumptions!$D$8</f>
        <v>8.4</v>
      </c>
      <c r="D38" s="18" t="n">
        <f aca="false">C39*Assumptions!$D$8</f>
        <v>16.296</v>
      </c>
      <c r="E38" s="18" t="n">
        <f aca="false">D39*Assumptions!$D$8</f>
        <v>23.71824</v>
      </c>
      <c r="F38" s="18" t="n">
        <f aca="false">E39*Assumptions!$D$8</f>
        <v>30.6951456</v>
      </c>
      <c r="G38" s="18" t="n">
        <f aca="false">F39*Assumptions!$D$8</f>
        <v>37.253436864</v>
      </c>
      <c r="H38" s="18" t="n">
        <f aca="false">G39*Assumptions!$D$8</f>
        <v>43.41823065216</v>
      </c>
      <c r="I38" s="18" t="n">
        <f aca="false">H39*Assumptions!$D$8</f>
        <v>49.2131368130304</v>
      </c>
      <c r="J38" s="18" t="n">
        <f aca="false">I39*Assumptions!$D$8</f>
        <v>54.6603486042486</v>
      </c>
      <c r="K38" s="18" t="n">
        <f aca="false">J39*Assumptions!$D$8</f>
        <v>59.7807276879937</v>
      </c>
      <c r="L38" s="18" t="n">
        <f aca="false">K39*Assumptions!$D$8</f>
        <v>64.593884026714</v>
      </c>
      <c r="M38" s="18" t="n">
        <f aca="false">L39*Assumptions!$D$8</f>
        <v>69.1182509851112</v>
      </c>
      <c r="N38" s="17" t="n">
        <f aca="false">SUM(B38:M38)</f>
        <v>457.147401233258</v>
      </c>
    </row>
    <row r="39" customFormat="false" ht="15" hidden="false" customHeight="false" outlineLevel="0" collapsed="false">
      <c r="A39" s="19" t="s">
        <v>59</v>
      </c>
      <c r="B39" s="20" t="n">
        <f aca="false">B37</f>
        <v>140</v>
      </c>
      <c r="C39" s="20" t="n">
        <f aca="false">B39*(1-Assumptions!$D$8)+C37</f>
        <v>271.6</v>
      </c>
      <c r="D39" s="20" t="n">
        <f aca="false">C39*(1-Assumptions!$D$8)+D37</f>
        <v>395.304</v>
      </c>
      <c r="E39" s="20" t="n">
        <f aca="false">D39*(1-Assumptions!$D$8)+E37</f>
        <v>511.58576</v>
      </c>
      <c r="F39" s="20" t="n">
        <f aca="false">E39*(1-Assumptions!$D$8)+F37</f>
        <v>620.8906144</v>
      </c>
      <c r="G39" s="20" t="n">
        <f aca="false">F39*(1-Assumptions!$D$8)+G37</f>
        <v>723.637177536</v>
      </c>
      <c r="H39" s="20" t="n">
        <f aca="false">G39*(1-Assumptions!$D$8)+H37</f>
        <v>820.21894688384</v>
      </c>
      <c r="I39" s="20" t="n">
        <f aca="false">H39*(1-Assumptions!$D$8)+I37</f>
        <v>911.005810070809</v>
      </c>
      <c r="J39" s="20" t="n">
        <f aca="false">I39*(1-Assumptions!$D$8)+J37</f>
        <v>996.345461466561</v>
      </c>
      <c r="K39" s="20" t="n">
        <f aca="false">J39*(1-Assumptions!$D$8)+K37</f>
        <v>1076.56473377857</v>
      </c>
      <c r="L39" s="20" t="n">
        <f aca="false">K39*(1-Assumptions!$D$8)+L37</f>
        <v>1151.97084975185</v>
      </c>
      <c r="M39" s="20" t="n">
        <f aca="false">L39*(1-Assumptions!$D$8)+M37</f>
        <v>1222.85259876674</v>
      </c>
      <c r="N39" s="17" t="n">
        <f aca="false">M39</f>
        <v>1222.85259876674</v>
      </c>
    </row>
    <row r="40" customFormat="false" ht="15" hidden="false" customHeight="false" outlineLevel="0" collapsed="false">
      <c r="A40" s="15" t="s">
        <v>60</v>
      </c>
      <c r="B40" s="21" t="n">
        <f aca="false">B39*Assumptions!$D$9</f>
        <v>1260</v>
      </c>
      <c r="C40" s="21" t="n">
        <f aca="false">C39*Assumptions!$D$9</f>
        <v>2444.4</v>
      </c>
      <c r="D40" s="21" t="n">
        <f aca="false">D39*Assumptions!$D$9</f>
        <v>3557.736</v>
      </c>
      <c r="E40" s="21" t="n">
        <f aca="false">E39*Assumptions!$D$9</f>
        <v>4604.27184</v>
      </c>
      <c r="F40" s="21" t="n">
        <f aca="false">F39*Assumptions!$D$9</f>
        <v>5588.0155296</v>
      </c>
      <c r="G40" s="21" t="n">
        <f aca="false">G39*Assumptions!$D$9</f>
        <v>6512.734597824</v>
      </c>
      <c r="H40" s="21" t="n">
        <f aca="false">H39*Assumptions!$D$9</f>
        <v>7381.97052195456</v>
      </c>
      <c r="I40" s="21" t="n">
        <f aca="false">I39*Assumptions!$D$9</f>
        <v>8199.05229063728</v>
      </c>
      <c r="J40" s="21" t="n">
        <f aca="false">J39*Assumptions!$D$9</f>
        <v>8967.10915319905</v>
      </c>
      <c r="K40" s="21" t="n">
        <f aca="false">K39*Assumptions!$D$9</f>
        <v>9689.0826040071</v>
      </c>
      <c r="L40" s="21" t="n">
        <f aca="false">L39*Assumptions!$D$9</f>
        <v>10367.7376477667</v>
      </c>
      <c r="M40" s="21" t="n">
        <f aca="false">M39*Assumptions!$D$9</f>
        <v>11005.6733889007</v>
      </c>
      <c r="N40" s="22" t="n">
        <f aca="false">M40</f>
        <v>11005.6733889007</v>
      </c>
    </row>
    <row r="41" customFormat="false" ht="15" hidden="false" customHeight="false" outlineLevel="0" collapsed="false">
      <c r="A41" s="15" t="s">
        <v>61</v>
      </c>
      <c r="B41" s="21" t="n">
        <f aca="false">B39*Assumptions!$D$9*(1-Assumptions!$D$10)</f>
        <v>982.8</v>
      </c>
      <c r="C41" s="21" t="n">
        <f aca="false">C39*Assumptions!$D$9*(1-Assumptions!$D$10)</f>
        <v>1906.632</v>
      </c>
      <c r="D41" s="21" t="n">
        <f aca="false">D39*Assumptions!$D$9*(1-Assumptions!$D$10)</f>
        <v>2775.03408</v>
      </c>
      <c r="E41" s="21" t="n">
        <f aca="false">E39*Assumptions!$D$9*(1-Assumptions!$D$10)</f>
        <v>3591.3320352</v>
      </c>
      <c r="F41" s="21" t="n">
        <f aca="false">F39*Assumptions!$D$9*(1-Assumptions!$D$10)</f>
        <v>4358.652113088</v>
      </c>
      <c r="G41" s="21" t="n">
        <f aca="false">G39*Assumptions!$D$9*(1-Assumptions!$D$10)</f>
        <v>5079.93298630272</v>
      </c>
      <c r="H41" s="21" t="n">
        <f aca="false">H39*Assumptions!$D$9*(1-Assumptions!$D$10)</f>
        <v>5757.93700712456</v>
      </c>
      <c r="I41" s="21" t="n">
        <f aca="false">I39*Assumptions!$D$9*(1-Assumptions!$D$10)</f>
        <v>6395.26078669708</v>
      </c>
      <c r="J41" s="21" t="n">
        <f aca="false">J39*Assumptions!$D$9*(1-Assumptions!$D$10)</f>
        <v>6994.34513949526</v>
      </c>
      <c r="K41" s="21" t="n">
        <f aca="false">K39*Assumptions!$D$9*(1-Assumptions!$D$10)</f>
        <v>7557.48443112554</v>
      </c>
      <c r="L41" s="21" t="n">
        <f aca="false">L39*Assumptions!$D$9*(1-Assumptions!$D$10)</f>
        <v>8086.83536525801</v>
      </c>
      <c r="M41" s="21" t="n">
        <f aca="false">M39*Assumptions!$D$9*(1-Assumptions!$D$10)</f>
        <v>8584.42524334253</v>
      </c>
      <c r="N41" s="22" t="n">
        <f aca="false">SUM(B41:M41)</f>
        <v>62070.6711876337</v>
      </c>
    </row>
    <row r="42" customFormat="false" ht="15" hidden="false" customHeight="false" outlineLevel="0" collapsed="false">
      <c r="A42" s="15" t="s">
        <v>62</v>
      </c>
      <c r="B42" s="21" t="n">
        <f aca="false">B39*Assumptions!$D$11</f>
        <v>168</v>
      </c>
      <c r="C42" s="21" t="n">
        <f aca="false">C39*Assumptions!$D$11</f>
        <v>325.92</v>
      </c>
      <c r="D42" s="21" t="n">
        <f aca="false">D39*Assumptions!$D$11</f>
        <v>474.3648</v>
      </c>
      <c r="E42" s="21" t="n">
        <f aca="false">E39*Assumptions!$D$11</f>
        <v>613.902912</v>
      </c>
      <c r="F42" s="21" t="n">
        <f aca="false">F39*Assumptions!$D$11</f>
        <v>745.06873728</v>
      </c>
      <c r="G42" s="21" t="n">
        <f aca="false">G39*Assumptions!$D$11</f>
        <v>868.3646130432</v>
      </c>
      <c r="H42" s="21" t="n">
        <f aca="false">H39*Assumptions!$D$11</f>
        <v>984.262736260608</v>
      </c>
      <c r="I42" s="21" t="n">
        <f aca="false">I39*Assumptions!$D$11</f>
        <v>1093.20697208497</v>
      </c>
      <c r="J42" s="21" t="n">
        <f aca="false">J39*Assumptions!$D$11</f>
        <v>1195.61455375987</v>
      </c>
      <c r="K42" s="21" t="n">
        <f aca="false">K39*Assumptions!$D$11</f>
        <v>1291.87768053428</v>
      </c>
      <c r="L42" s="21" t="n">
        <f aca="false">L39*Assumptions!$D$11</f>
        <v>1382.36501970222</v>
      </c>
      <c r="M42" s="21" t="n">
        <f aca="false">M39*Assumptions!$D$11</f>
        <v>1467.42311852009</v>
      </c>
      <c r="N42" s="22" t="n">
        <f aca="false">SUM(B42:M42)</f>
        <v>10610.3711431852</v>
      </c>
    </row>
    <row r="43" customFormat="false" ht="15" hidden="false" customHeight="false" outlineLevel="0" collapsed="false">
      <c r="A43" s="15" t="s">
        <v>63</v>
      </c>
      <c r="B43" s="21" t="n">
        <f aca="false">B37*Assumptions!$D$12</f>
        <v>560</v>
      </c>
      <c r="C43" s="21" t="n">
        <f aca="false">C37*Assumptions!$D$12</f>
        <v>560</v>
      </c>
      <c r="D43" s="21" t="n">
        <f aca="false">D37*Assumptions!$D$12</f>
        <v>560</v>
      </c>
      <c r="E43" s="21" t="n">
        <f aca="false">E37*Assumptions!$D$12</f>
        <v>560</v>
      </c>
      <c r="F43" s="21" t="n">
        <f aca="false">F37*Assumptions!$D$12</f>
        <v>560</v>
      </c>
      <c r="G43" s="21" t="n">
        <f aca="false">G37*Assumptions!$D$12</f>
        <v>560</v>
      </c>
      <c r="H43" s="21" t="n">
        <f aca="false">H37*Assumptions!$D$12</f>
        <v>560</v>
      </c>
      <c r="I43" s="21" t="n">
        <f aca="false">I37*Assumptions!$D$12</f>
        <v>560</v>
      </c>
      <c r="J43" s="21" t="n">
        <f aca="false">J37*Assumptions!$D$12</f>
        <v>560</v>
      </c>
      <c r="K43" s="21" t="n">
        <f aca="false">K37*Assumptions!$D$12</f>
        <v>560</v>
      </c>
      <c r="L43" s="21" t="n">
        <f aca="false">L37*Assumptions!$D$12</f>
        <v>560</v>
      </c>
      <c r="M43" s="21" t="n">
        <f aca="false">M37*Assumptions!$D$12</f>
        <v>560</v>
      </c>
      <c r="N43" s="22" t="n">
        <f aca="false">SUM(B43:M43)</f>
        <v>6720</v>
      </c>
    </row>
    <row r="44" customFormat="false" ht="15" hidden="false" customHeight="false" outlineLevel="0" collapsed="false">
      <c r="A44" s="15" t="s">
        <v>64</v>
      </c>
      <c r="B44" s="21" t="n">
        <f aca="false">Assumptions!$D$13</f>
        <v>300</v>
      </c>
      <c r="C44" s="21" t="n">
        <f aca="false">Assumptions!$D$13</f>
        <v>300</v>
      </c>
      <c r="D44" s="21" t="n">
        <f aca="false">Assumptions!$D$13</f>
        <v>300</v>
      </c>
      <c r="E44" s="21" t="n">
        <f aca="false">Assumptions!$D$13</f>
        <v>300</v>
      </c>
      <c r="F44" s="21" t="n">
        <f aca="false">Assumptions!$D$13</f>
        <v>300</v>
      </c>
      <c r="G44" s="21" t="n">
        <f aca="false">Assumptions!$D$13</f>
        <v>300</v>
      </c>
      <c r="H44" s="21" t="n">
        <f aca="false">Assumptions!$D$13</f>
        <v>300</v>
      </c>
      <c r="I44" s="21" t="n">
        <f aca="false">Assumptions!$D$13</f>
        <v>300</v>
      </c>
      <c r="J44" s="21" t="n">
        <f aca="false">Assumptions!$D$13</f>
        <v>300</v>
      </c>
      <c r="K44" s="21" t="n">
        <f aca="false">Assumptions!$D$13</f>
        <v>300</v>
      </c>
      <c r="L44" s="21" t="n">
        <f aca="false">Assumptions!$D$13</f>
        <v>300</v>
      </c>
      <c r="M44" s="21" t="n">
        <f aca="false">Assumptions!$D$13</f>
        <v>300</v>
      </c>
      <c r="N44" s="22" t="n">
        <f aca="false">SUM(B44:M44)</f>
        <v>3600</v>
      </c>
    </row>
    <row r="45" customFormat="false" ht="15" hidden="false" customHeight="false" outlineLevel="0" collapsed="false">
      <c r="A45" s="19" t="s">
        <v>65</v>
      </c>
      <c r="B45" s="23" t="n">
        <f aca="false">B41-B42-B43-B44</f>
        <v>-45.1999999999999</v>
      </c>
      <c r="C45" s="23" t="n">
        <f aca="false">C41-C42-C43-C44</f>
        <v>720.712</v>
      </c>
      <c r="D45" s="23" t="n">
        <f aca="false">D41-D42-D43-D44</f>
        <v>1440.66928</v>
      </c>
      <c r="E45" s="23" t="n">
        <f aca="false">E41-E42-E43-E44</f>
        <v>2117.4291232</v>
      </c>
      <c r="F45" s="23" t="n">
        <f aca="false">F41-F42-F43-F44</f>
        <v>2753.583375808</v>
      </c>
      <c r="G45" s="23" t="n">
        <f aca="false">G41-G42-G43-G44</f>
        <v>3351.56837325952</v>
      </c>
      <c r="H45" s="23" t="n">
        <f aca="false">H41-H42-H43-H44</f>
        <v>3913.67427086395</v>
      </c>
      <c r="I45" s="23" t="n">
        <f aca="false">I41-I42-I43-I44</f>
        <v>4442.05381461211</v>
      </c>
      <c r="J45" s="23" t="n">
        <f aca="false">J41-J42-J43-J44</f>
        <v>4938.73058573538</v>
      </c>
      <c r="K45" s="23" t="n">
        <f aca="false">K41-K42-K43-K44</f>
        <v>5405.60675059126</v>
      </c>
      <c r="L45" s="23" t="n">
        <f aca="false">L41-L42-L43-L44</f>
        <v>5844.47034555579</v>
      </c>
      <c r="M45" s="23" t="n">
        <f aca="false">M41-M42-M43-M44</f>
        <v>6257.00212482244</v>
      </c>
      <c r="N45" s="22" t="n">
        <f aca="false">SUM(B45:M45)</f>
        <v>41140.3000444485</v>
      </c>
    </row>
    <row r="46" customFormat="false" ht="15" hidden="false" customHeight="false" outlineLevel="0" collapsed="false">
      <c r="A46" s="15" t="s">
        <v>66</v>
      </c>
      <c r="B46" s="24" t="n">
        <f aca="false">B45</f>
        <v>-45.1999999999999</v>
      </c>
      <c r="C46" s="24" t="n">
        <f aca="false">B46+C45</f>
        <v>675.512</v>
      </c>
      <c r="D46" s="24" t="n">
        <f aca="false">C46+D45</f>
        <v>2116.18128</v>
      </c>
      <c r="E46" s="24" t="n">
        <f aca="false">D46+E45</f>
        <v>4233.6104032</v>
      </c>
      <c r="F46" s="24" t="n">
        <f aca="false">E46+F45</f>
        <v>6987.193779008</v>
      </c>
      <c r="G46" s="24" t="n">
        <f aca="false">F46+G45</f>
        <v>10338.7621522675</v>
      </c>
      <c r="H46" s="24" t="n">
        <f aca="false">G46+H45</f>
        <v>14252.4364231315</v>
      </c>
      <c r="I46" s="24" t="n">
        <f aca="false">H46+I45</f>
        <v>18694.4902377436</v>
      </c>
      <c r="J46" s="24" t="n">
        <f aca="false">I46+J45</f>
        <v>23633.220823479</v>
      </c>
      <c r="K46" s="24" t="n">
        <f aca="false">J46+K45</f>
        <v>29038.8275740702</v>
      </c>
      <c r="L46" s="24" t="n">
        <f aca="false">K46+L45</f>
        <v>34883.297919626</v>
      </c>
      <c r="M46" s="24" t="n">
        <f aca="false">L46+M45</f>
        <v>41140.3000444485</v>
      </c>
      <c r="N46" s="22" t="n">
        <f aca="false">M46</f>
        <v>41140.3000444485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24" hidden="false" customHeight="tru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4" t="s">
        <v>25</v>
      </c>
      <c r="B4" s="4" t="s">
        <v>4</v>
      </c>
      <c r="C4" s="4" t="s">
        <v>5</v>
      </c>
      <c r="D4" s="4" t="s">
        <v>6</v>
      </c>
    </row>
    <row r="5" customFormat="false" ht="15" hidden="false" customHeight="false" outlineLevel="0" collapsed="false">
      <c r="A5" s="25" t="s">
        <v>71</v>
      </c>
      <c r="B5" s="26" t="n">
        <f aca="false">'12-Month Projection'!M9</f>
        <v>39.2164422089159</v>
      </c>
      <c r="C5" s="26" t="n">
        <f aca="false">'12-Month Projection'!M24</f>
        <v>240.897604475163</v>
      </c>
      <c r="D5" s="26" t="n">
        <f aca="false">'12-Month Projection'!M39</f>
        <v>1222.85259876674</v>
      </c>
    </row>
    <row r="6" customFormat="false" ht="15" hidden="false" customHeight="false" outlineLevel="0" collapsed="false">
      <c r="A6" s="27" t="s">
        <v>72</v>
      </c>
      <c r="B6" s="28" t="n">
        <f aca="false">'12-Month Projection'!M10</f>
        <v>313.731537671328</v>
      </c>
      <c r="C6" s="28" t="n">
        <f aca="false">'12-Month Projection'!M25</f>
        <v>2047.62963803888</v>
      </c>
      <c r="D6" s="28" t="n">
        <f aca="false">'12-Month Projection'!M40</f>
        <v>11005.6733889007</v>
      </c>
    </row>
    <row r="7" customFormat="false" ht="15" hidden="false" customHeight="false" outlineLevel="0" collapsed="false">
      <c r="A7" s="25" t="s">
        <v>73</v>
      </c>
      <c r="B7" s="29" t="n">
        <f aca="false">'12-Month Projection'!M11</f>
        <v>219.612076369929</v>
      </c>
      <c r="C7" s="29" t="n">
        <f aca="false">'12-Month Projection'!M26</f>
        <v>1433.34074662722</v>
      </c>
      <c r="D7" s="29" t="n">
        <f aca="false">'12-Month Projection'!M41</f>
        <v>8584.42524334253</v>
      </c>
    </row>
    <row r="8" customFormat="false" ht="15" hidden="false" customHeight="false" outlineLevel="0" collapsed="false">
      <c r="A8" s="25" t="s">
        <v>74</v>
      </c>
      <c r="B8" s="29" t="n">
        <f aca="false">'12-Month Projection'!N11</f>
        <v>1749.51143995385</v>
      </c>
      <c r="C8" s="29" t="n">
        <f aca="false">'12-Month Projection'!N26</f>
        <v>10893.9991174359</v>
      </c>
      <c r="D8" s="29" t="n">
        <f aca="false">'12-Month Projection'!N41</f>
        <v>62070.6711876337</v>
      </c>
    </row>
    <row r="9" customFormat="false" ht="15" hidden="false" customHeight="false" outlineLevel="0" collapsed="false">
      <c r="A9" s="25" t="s">
        <v>75</v>
      </c>
      <c r="B9" s="29" t="n">
        <f aca="false">'12-Month Projection'!N13</f>
        <v>1080</v>
      </c>
      <c r="C9" s="29" t="n">
        <f aca="false">'12-Month Projection'!N28</f>
        <v>3072</v>
      </c>
      <c r="D9" s="29" t="n">
        <f aca="false">'12-Month Projection'!N43</f>
        <v>6720</v>
      </c>
    </row>
    <row r="10" customFormat="false" ht="15" hidden="false" customHeight="false" outlineLevel="0" collapsed="false">
      <c r="A10" s="27" t="s">
        <v>76</v>
      </c>
      <c r="B10" s="28" t="n">
        <f aca="false">'12-Month Projection'!N15</f>
        <v>-3399.10769574807</v>
      </c>
      <c r="C10" s="28" t="n">
        <f aca="false">'12-Month Projection'!N30</f>
        <v>1475.61278530921</v>
      </c>
      <c r="D10" s="28" t="n">
        <f aca="false">'12-Month Projection'!N45</f>
        <v>41140.3000444485</v>
      </c>
    </row>
    <row r="11" customFormat="false" ht="15" hidden="false" customHeight="false" outlineLevel="0" collapsed="false">
      <c r="A11" s="25" t="s">
        <v>77</v>
      </c>
      <c r="B11" s="29" t="n">
        <f aca="false">'12-Month Projection'!M16</f>
        <v>-3399.10769574807</v>
      </c>
      <c r="C11" s="29" t="n">
        <f aca="false">'12-Month Projection'!M31</f>
        <v>1475.61278530921</v>
      </c>
      <c r="D11" s="29" t="n">
        <f aca="false">'12-Month Projection'!M46</f>
        <v>41140.3000444485</v>
      </c>
    </row>
    <row r="13" customFormat="false" ht="15" hidden="false" customHeight="false" outlineLevel="0" collapsed="false">
      <c r="A13" s="3" t="s">
        <v>78</v>
      </c>
    </row>
    <row r="14" customFormat="false" ht="15" hidden="false" customHeight="false" outlineLevel="0" collapsed="false">
      <c r="A14" s="4" t="s">
        <v>25</v>
      </c>
      <c r="B14" s="4" t="s">
        <v>4</v>
      </c>
      <c r="C14" s="4" t="s">
        <v>5</v>
      </c>
      <c r="D14" s="4" t="s">
        <v>6</v>
      </c>
    </row>
    <row r="15" customFormat="false" ht="15" hidden="false" customHeight="false" outlineLevel="0" collapsed="false">
      <c r="A15" s="25" t="s">
        <v>33</v>
      </c>
      <c r="B15" s="30" t="n">
        <f aca="false">Assumptions!B20</f>
        <v>34.1666666666667</v>
      </c>
      <c r="C15" s="30" t="n">
        <f aca="false">Assumptions!C20</f>
        <v>49.4444444444444</v>
      </c>
      <c r="D15" s="30" t="n">
        <f aca="false">Assumptions!D20</f>
        <v>97</v>
      </c>
    </row>
    <row r="16" customFormat="false" ht="15" hidden="false" customHeight="false" outlineLevel="0" collapsed="false">
      <c r="A16" s="25" t="s">
        <v>35</v>
      </c>
      <c r="B16" s="31" t="n">
        <f aca="false">Assumptions!B21</f>
        <v>2.27777777777778</v>
      </c>
      <c r="C16" s="31" t="n">
        <f aca="false">Assumptions!C21</f>
        <v>6.18055555555555</v>
      </c>
      <c r="D16" s="31" t="n">
        <f aca="false">Assumptions!D21</f>
        <v>24.25</v>
      </c>
    </row>
    <row r="17" customFormat="false" ht="15" hidden="false" customHeight="false" outlineLevel="0" collapsed="false">
      <c r="A17" s="25" t="s">
        <v>37</v>
      </c>
      <c r="B17" s="32" t="n">
        <f aca="false">Assumptions!B22</f>
        <v>3.65853658536585</v>
      </c>
      <c r="C17" s="32" t="n">
        <f aca="false">Assumptions!C22</f>
        <v>1.79775280898876</v>
      </c>
      <c r="D17" s="32" t="n">
        <f aca="false">Assumptions!D22</f>
        <v>0.687285223367698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24" hidden="false" customHeight="tru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4" t="s">
        <v>81</v>
      </c>
      <c r="B4" s="4" t="s">
        <v>25</v>
      </c>
      <c r="C4" s="4" t="s">
        <v>82</v>
      </c>
      <c r="D4" s="4" t="s">
        <v>83</v>
      </c>
      <c r="E4" s="4" t="s">
        <v>7</v>
      </c>
    </row>
    <row r="5" customFormat="false" ht="15" hidden="false" customHeight="false" outlineLevel="0" collapsed="false">
      <c r="A5" s="15" t="s">
        <v>84</v>
      </c>
      <c r="B5" s="15" t="s">
        <v>85</v>
      </c>
      <c r="C5" s="19" t="s">
        <v>86</v>
      </c>
      <c r="D5" s="33" t="s">
        <v>87</v>
      </c>
      <c r="E5" s="34" t="s">
        <v>88</v>
      </c>
    </row>
    <row r="6" customFormat="false" ht="15" hidden="false" customHeight="false" outlineLevel="0" collapsed="false">
      <c r="A6" s="15" t="s">
        <v>89</v>
      </c>
      <c r="B6" s="15" t="s">
        <v>90</v>
      </c>
      <c r="C6" s="19" t="s">
        <v>91</v>
      </c>
      <c r="D6" s="33" t="s">
        <v>87</v>
      </c>
      <c r="E6" s="34" t="s">
        <v>92</v>
      </c>
    </row>
    <row r="7" customFormat="false" ht="15" hidden="false" customHeight="false" outlineLevel="0" collapsed="false">
      <c r="A7" s="15" t="s">
        <v>89</v>
      </c>
      <c r="B7" s="15" t="s">
        <v>93</v>
      </c>
      <c r="C7" s="19" t="s">
        <v>94</v>
      </c>
      <c r="D7" s="33" t="s">
        <v>87</v>
      </c>
      <c r="E7" s="34" t="s">
        <v>95</v>
      </c>
    </row>
    <row r="8" customFormat="false" ht="15" hidden="false" customHeight="false" outlineLevel="0" collapsed="false">
      <c r="A8" s="15" t="s">
        <v>89</v>
      </c>
      <c r="B8" s="15" t="s">
        <v>96</v>
      </c>
      <c r="C8" s="19" t="s">
        <v>97</v>
      </c>
      <c r="D8" s="33" t="s">
        <v>87</v>
      </c>
      <c r="E8" s="34"/>
    </row>
    <row r="9" customFormat="false" ht="15" hidden="false" customHeight="false" outlineLevel="0" collapsed="false">
      <c r="A9" s="15" t="s">
        <v>98</v>
      </c>
      <c r="B9" s="15" t="s">
        <v>99</v>
      </c>
      <c r="C9" s="19" t="s">
        <v>100</v>
      </c>
      <c r="D9" s="33" t="s">
        <v>101</v>
      </c>
      <c r="E9" s="34" t="s">
        <v>102</v>
      </c>
    </row>
    <row r="10" customFormat="false" ht="15" hidden="false" customHeight="false" outlineLevel="0" collapsed="false">
      <c r="A10" s="15" t="s">
        <v>103</v>
      </c>
      <c r="B10" s="15" t="s">
        <v>104</v>
      </c>
      <c r="C10" s="19" t="s">
        <v>105</v>
      </c>
      <c r="D10" s="33" t="s">
        <v>101</v>
      </c>
      <c r="E10" s="34" t="s">
        <v>106</v>
      </c>
    </row>
    <row r="11" customFormat="false" ht="15" hidden="false" customHeight="false" outlineLevel="0" collapsed="false">
      <c r="A11" s="15" t="s">
        <v>103</v>
      </c>
      <c r="B11" s="15" t="s">
        <v>107</v>
      </c>
      <c r="C11" s="19" t="s">
        <v>108</v>
      </c>
      <c r="D11" s="35" t="s">
        <v>109</v>
      </c>
      <c r="E11" s="34" t="s">
        <v>110</v>
      </c>
    </row>
    <row r="12" customFormat="false" ht="15" hidden="false" customHeight="false" outlineLevel="0" collapsed="false">
      <c r="A12" s="15" t="s">
        <v>111</v>
      </c>
      <c r="B12" s="15" t="s">
        <v>112</v>
      </c>
      <c r="C12" s="19" t="s">
        <v>113</v>
      </c>
      <c r="D12" s="35" t="s">
        <v>114</v>
      </c>
      <c r="E12" s="34" t="s">
        <v>115</v>
      </c>
    </row>
    <row r="13" customFormat="false" ht="15" hidden="false" customHeight="false" outlineLevel="0" collapsed="false">
      <c r="A13" s="15" t="s">
        <v>116</v>
      </c>
      <c r="B13" s="15" t="s">
        <v>117</v>
      </c>
      <c r="C13" s="19" t="s">
        <v>118</v>
      </c>
      <c r="D13" s="35" t="s">
        <v>114</v>
      </c>
      <c r="E13" s="34" t="s">
        <v>119</v>
      </c>
    </row>
    <row r="14" customFormat="false" ht="15" hidden="false" customHeight="false" outlineLevel="0" collapsed="false">
      <c r="A14" s="15" t="s">
        <v>120</v>
      </c>
      <c r="B14" s="15" t="s">
        <v>121</v>
      </c>
      <c r="C14" s="19" t="s">
        <v>122</v>
      </c>
      <c r="D14" s="33" t="s">
        <v>123</v>
      </c>
      <c r="E14" s="34" t="s">
        <v>124</v>
      </c>
    </row>
    <row r="15" customFormat="false" ht="15" hidden="false" customHeight="false" outlineLevel="0" collapsed="false">
      <c r="A15" s="15" t="s">
        <v>125</v>
      </c>
      <c r="B15" s="15" t="s">
        <v>126</v>
      </c>
      <c r="C15" s="19" t="s">
        <v>127</v>
      </c>
      <c r="D15" s="33" t="s">
        <v>123</v>
      </c>
      <c r="E15" s="34" t="s">
        <v>128</v>
      </c>
    </row>
    <row r="16" customFormat="false" ht="15" hidden="false" customHeight="false" outlineLevel="0" collapsed="false">
      <c r="A16" s="15" t="s">
        <v>125</v>
      </c>
      <c r="B16" s="15" t="s">
        <v>129</v>
      </c>
      <c r="C16" s="19" t="s">
        <v>130</v>
      </c>
      <c r="D16" s="33" t="s">
        <v>87</v>
      </c>
      <c r="E16" s="34" t="s">
        <v>131</v>
      </c>
    </row>
    <row r="17" customFormat="false" ht="15" hidden="false" customHeight="false" outlineLevel="0" collapsed="false">
      <c r="A17" s="15" t="s">
        <v>132</v>
      </c>
      <c r="B17" s="15" t="s">
        <v>133</v>
      </c>
      <c r="C17" s="19" t="s">
        <v>134</v>
      </c>
      <c r="D17" s="33" t="s">
        <v>135</v>
      </c>
      <c r="E17" s="34" t="s">
        <v>136</v>
      </c>
    </row>
    <row r="18" customFormat="false" ht="15" hidden="false" customHeight="false" outlineLevel="0" collapsed="false">
      <c r="A18" s="15" t="s">
        <v>137</v>
      </c>
      <c r="B18" s="15" t="s">
        <v>138</v>
      </c>
      <c r="C18" s="19" t="s">
        <v>139</v>
      </c>
      <c r="D18" s="33" t="s">
        <v>135</v>
      </c>
      <c r="E18" s="34" t="s">
        <v>140</v>
      </c>
    </row>
    <row r="19" customFormat="false" ht="15" hidden="false" customHeight="false" outlineLevel="0" collapsed="false">
      <c r="A19" s="15" t="s">
        <v>137</v>
      </c>
      <c r="B19" s="15" t="s">
        <v>141</v>
      </c>
      <c r="C19" s="19" t="s">
        <v>142</v>
      </c>
      <c r="D19" s="33" t="s">
        <v>135</v>
      </c>
      <c r="E19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2026-05-20T14:48:59Z</dcterms:created>
  <dc:creator>openpyxl</dc:creator>
  <dc:description/>
  <dc:language>en-US</dc:language>
  <cp:lastModifiedBy/>
  <dcterms:modified xsi:type="dcterms:W3CDTF">2026-05-20T14:48:59Z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